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ites_Drivers" sheetId="1" r:id="rId5"/>
    <sheet state="visible" name="NZF" sheetId="2" r:id="rId6"/>
    <sheet state="visible" name="CAPEX" sheetId="3" r:id="rId7"/>
    <sheet state="visible" name="Programación preventiva 2026" sheetId="4" r:id="rId8"/>
    <sheet state="visible" name="Rasional supervisores" sheetId="5" r:id="rId9"/>
    <sheet state="visible" name="Hoja2" sheetId="6" r:id="rId10"/>
    <sheet state="visible" name="Hoja 1" sheetId="7" r:id="rId11"/>
  </sheets>
  <definedNames>
    <definedName name="_80__123Graph_CINV__CHINA">#REF!</definedName>
    <definedName name="yogibear">#REF!</definedName>
    <definedName name="MLNKbeedeb151f704868998520a6421171c8">#REF!</definedName>
    <definedName name="MLNK86ecd7ab417442999e9571cb42a35c3d">#REF!</definedName>
    <definedName name="DATA_06">#REF!</definedName>
    <definedName name="_3__123Graph_ECHART_1">#REF!</definedName>
    <definedName name="MLNK387475b87af54a76a0642c2247a045e1">#REF!</definedName>
    <definedName name="DivFpb">#REF!</definedName>
    <definedName name="__8__123Graph_BCHART_15">#REF!</definedName>
    <definedName name="Z_A18F811F_B263_11D3_94DE_00C04F602AEF_.wvu.PrintArea">#REF!</definedName>
    <definedName name="MLNK47937549bb834b0683b3c7d01e970e65">#REF!</definedName>
    <definedName name="MLNKd9bf3bc754ba47ed90fb0df6ad776088">#REF!</definedName>
    <definedName name="Z_0B432F66_F278_11D2_9169_0060B01A6EB2_.wvu.PrintArea">#REF!</definedName>
    <definedName name="MLNKa793605297124c19ba81536d54efb581">#REF!</definedName>
    <definedName name="RPTDATACELL8">#REF!</definedName>
    <definedName name="MLNK461a17456e294da5992a68fd5f5be97b">#REF!</definedName>
    <definedName name="__123Graph_F">#REF!</definedName>
    <definedName name="RPTDATACELL7">#REF!</definedName>
    <definedName name="DATA_05">#REF!</definedName>
    <definedName name="Z_F8CBCD01_02CF_11D6_9140_006097813339_.wvu.PrintArea">#REF!</definedName>
    <definedName name="Z_89A6267D_7FD1_11D2_8012_0060B01A6EB2_.wvu.PrintArea">#REF!</definedName>
    <definedName name="MLNKc1ea87846db5404b844dd3505adfaaba">#REF!</definedName>
    <definedName name="MLNK1ec29c51409145dc8b57fe4bce76d281">#REF!</definedName>
    <definedName name="MLNK20f696f7482248659cfdaac8cd0a1510">#REF!</definedName>
    <definedName name="MLNK7fab4c0ace1140cdb5168037465f3e22">#REF!</definedName>
    <definedName name="_bdm.0D559F93095C47A7AF80FF892CE699B6.edm">#REF!</definedName>
    <definedName name="_29__123Graph_XCHART_5">#REF!</definedName>
    <definedName name="_23__123Graph_XCHART_10">#REF!</definedName>
    <definedName name="gas_01">#REF!</definedName>
    <definedName name="_bdm.DB669418853340B7A7D1D94806F6FF7F.edm">#REF!</definedName>
    <definedName name="_11__123Graph_BCHART_2">#REF!</definedName>
    <definedName name="MLNKc564443bdb2f4e81ad446987a285f51e">#REF!</definedName>
    <definedName name="MLNK1bc72ad680894c0ead82abd932e0cb3b">#REF!</definedName>
    <definedName name="Department2">#REF!</definedName>
    <definedName name="MLNKa9f5a8d194874f178c6164826a0c2065">#REF!</definedName>
    <definedName name="Z_8DE117E5_DE02_11D2_8029_0060B01A6EB2_.wvu.PrintArea">#REF!</definedName>
    <definedName name="__123Graph_XMEMB">#REF!</definedName>
    <definedName name="_Regression_Y">#REF!</definedName>
    <definedName name="MLNK597e91df62cc4b4d969efc4c62530fc4">#REF!</definedName>
    <definedName name="Ytd_Actv_Amt1">#REF!</definedName>
    <definedName name="_bdm.460678027ECF4B768D49C86A2E583735.edm">#REF!</definedName>
    <definedName name="_7__123Graph_XCHART_1">#REF!</definedName>
    <definedName name="_Table1_In1">#REF!</definedName>
    <definedName name="__4__123Graph_ECHART_2">#REF!</definedName>
    <definedName name="_bdm.8D0AFD0BE6044F208977D43E5FE3E571.edm">#REF!</definedName>
    <definedName name="MLNK970f37f02d0e45158b07044dfb8afb69">#REF!</definedName>
    <definedName name="__1__123Graph_ACHART_1">#REF!</definedName>
    <definedName name="MLNK796f438d97d044a5b9744f8fcc305e6a">#REF!</definedName>
    <definedName name="__123Graph_FMFGCOSGR">#REF!</definedName>
    <definedName name="MLNKc0503e39ed77443596b3cd4aa93fb495">#REF!</definedName>
    <definedName name="MLNKaaa0f82193dc43beb9cd632f061df933">#REF!</definedName>
    <definedName name="MLNK63a54a272f984c8abdeab326b5a50c0f">#REF!</definedName>
    <definedName name="Esta">#REF!</definedName>
    <definedName name="_bdm.D5564BA5818E4CB4A7EAA7AAA0118300.edm">#REF!</definedName>
    <definedName name="_21__123Graph_FCHART_2">#REF!</definedName>
    <definedName name="hn._I030">#REF!</definedName>
    <definedName name="MLNKaad75ab993f045d4a1edbf746efce503">#REF!</definedName>
    <definedName name="RPTWKS18">#REF!</definedName>
    <definedName name="hn.Delete015">#REF!</definedName>
    <definedName name="MLNK3cafcaaec31a486f86b4fdc67e801148">#REF!</definedName>
    <definedName name="XREF_COLUMN_4">#REF!</definedName>
    <definedName name="MLNK04df3a75ee0244a7bf48906225df988f">#REF!</definedName>
    <definedName name="_8__123Graph_BCHART_15">#REF!</definedName>
    <definedName name="Z_BB3B8A5D_F8E8_11D3_94DC_00C04FA0B046_.wvu.PrintArea">#REF!</definedName>
    <definedName name="MLNK7e80ed777a074de7a7750ca59b2b86e6">#REF!</definedName>
    <definedName name="MLNK173993f6a2834903a7b60dd3096bdc1e">#REF!</definedName>
    <definedName name="_Fill">#REF!</definedName>
    <definedName name="MLNK01760c927e8c4c918cd8fc6ca66ded7f">#REF!</definedName>
    <definedName name="MLNK80d70e6483c24c8899a095107f159605">#REF!</definedName>
    <definedName name="_2__123Graph_ACHART_10">#REF!</definedName>
    <definedName name="_6__123Graph_FCHART_2">#REF!</definedName>
    <definedName name="_bdm.BF21E072D50540C89E95BD078B0A5CB9.edm">#REF!</definedName>
    <definedName name="MLNK459cd16164de4143834e32aa40026346">#REF!</definedName>
    <definedName name="hn._I062">#REF!</definedName>
    <definedName name="_43__123Graph_XCHART_2">#REF!</definedName>
    <definedName name="Z_F2884976_0A0D_11D3_916D_0060B01A6EB2_.wvu.PrintArea">#REF!</definedName>
    <definedName name="MLNK9ffc07f7e4804f348c03927a1738806d">#REF!</definedName>
    <definedName name="QRYCOLS1">#REF!</definedName>
    <definedName name="Z_D74C7645_E604_11D3_94E6_00C04F612D61_.wvu.PrintArea">#REF!</definedName>
    <definedName name="_Regression_Out">#REF!</definedName>
    <definedName name="_GSRATESR_1">#REF!</definedName>
    <definedName name="MLNK63b6c7df8e8744ff93d469fafde6a52b">#REF!</definedName>
    <definedName name="Z_DB425CD1_773A_11D3_94D6_00C04F612D61_.wvu.PrintArea">#REF!</definedName>
    <definedName name="Z_E499C1FA_EA01_11D3_94D9_00C04FA0B046_.wvu.PrintArea">#REF!</definedName>
    <definedName name="_6__123Graph_BCHART_1">#REF!</definedName>
    <definedName name="RPTWKS8">#REF!</definedName>
    <definedName name="MLNK6f5af66d9cc84fd39dfe548664a2a1b6">#REF!</definedName>
    <definedName name="MLNKa441eb40846c40e394b2c562d5142a73">#REF!</definedName>
    <definedName name="_6_0_S">#REF!</definedName>
    <definedName name="Z_D74C777D_E604_11D3_94E6_00C04F612D61_.wvu.PrintArea">#REF!</definedName>
    <definedName name="MLNKf8bed71067e54db9a83fcd43225a831c">#REF!</definedName>
    <definedName name="CyMar2">#REF!</definedName>
    <definedName name="_40__123Graph_XCHART_19">#REF!</definedName>
    <definedName name="MLNK315f9fb8cf374864be739f4d49586a96">#REF!</definedName>
    <definedName name="RPTDATACELL9">#REF!</definedName>
    <definedName name="ltm_IncomeStatement">#REF!</definedName>
    <definedName name="LyDec2">#REF!</definedName>
    <definedName name="hn.FromMain1">#REF!</definedName>
    <definedName name="MLNK9b72e75df8bd4d7d95fcc567a613d59b">#REF!</definedName>
    <definedName name="Z_F8CBCD01_02CF_11D6_9140_006097813339_.wvu.Cols">#REF!</definedName>
    <definedName name="_100__123Graph_DINV__BRASS">#REF!</definedName>
    <definedName name="r.LTM">#REF!</definedName>
    <definedName name="RPTDATACELL52">#REF!</definedName>
    <definedName name="_10_0_0_S">#REF!</definedName>
    <definedName name="_bdm.0E0D87F801B742D2847EA313946D8E0B.edm">#REF!</definedName>
    <definedName name="Crit_Line_Nbr1">#REF!</definedName>
    <definedName name="Z_3FA1C663_192D_11D3_802B_0060B01A6EB2_.wvu.PrintArea">#REF!</definedName>
    <definedName name="_60__123Graph_BINV__STEEL">#REF!</definedName>
    <definedName name="RPTDATACELL13">#REF!</definedName>
    <definedName name="Z_B4680705_EDD3_11D3_94DB_00C04FA0B046_.wvu.PrintArea">#REF!</definedName>
    <definedName name="Pay_Code2">#REF!</definedName>
    <definedName name="ACE">#REF!</definedName>
    <definedName name="zIDC_Paste">#REF!</definedName>
    <definedName name="MLNK07219a67961b42aca73473659d971dab">#REF!</definedName>
    <definedName name="LyJun2">#REF!</definedName>
    <definedName name="hn.ConvertVal1">#REF!</definedName>
    <definedName name="hn.FromMain3">#REF!</definedName>
    <definedName name="_bdm.9CC96F1DB6EA4E7F93001A9BB7F9F393.edm">#REF!</definedName>
    <definedName name="__123Graph_C">#REF!</definedName>
    <definedName name="_10__123Graph_AINV__BRASS">#REF!</definedName>
    <definedName name="MLNKfe15888c23344c77bd2534753e48a890">#REF!</definedName>
    <definedName name="MLNKc80e9254eebf41f297b00006c747bb1c">#REF!</definedName>
    <definedName name="P6_Actv_Amt1">#REF!</definedName>
    <definedName name="Z_3EE9B315_964A_11D3_94D2_00C04F602AEF_.wvu.PrintArea">#REF!</definedName>
    <definedName name="MLNK637b3a6d64e84440b1b0e0264730182c">#REF!</definedName>
    <definedName name="c.LTMYear">#REF!</definedName>
    <definedName name="MLNK89e4fb90ddfe47cf9288c4155d42cc36">#REF!</definedName>
    <definedName name="_bdm.402BCFB2B95F4E4B8D22E99CF6B99A69.edm">#REF!</definedName>
    <definedName name="_234Graph_D">#REF!</definedName>
    <definedName name="__6__123Graph_BCHART_1">#REF!</definedName>
    <definedName name="__123Graph_BCURRENT">#REF!</definedName>
    <definedName name="MLNKe9eb4da72fc540afbb0e42ba7fd71507">#REF!</definedName>
    <definedName name="MLNKd8bbf00575c248c7b5c85dc4c6096033">#REF!</definedName>
    <definedName name="MLNK0b06087a4e5e4a8e80a10ecbae4ccfec">#REF!</definedName>
    <definedName name="MLNK88b1d932d9014fe485cf44790df12642">#REF!</definedName>
    <definedName name="MLNK121e810da9fd44ef95fd3e110ad32b34">#REF!</definedName>
    <definedName name="MLNK39f991036a0449e7866b01c8607259dd">#REF!</definedName>
    <definedName name="_bdm.C842ABCF88264044A7AEEA342434DDA5.edm">#REF!</definedName>
    <definedName name="MLNK146d66bf3c5646e2b57d19f0e77b8ea4">#REF!</definedName>
    <definedName name="RPTWKS15">#REF!</definedName>
    <definedName name="POTO">#REF!</definedName>
    <definedName name="MLNK0a2b4d7949b948e695fb14c7f28949b0">#REF!</definedName>
    <definedName name="MLNKadca7e36d7744acd8331363688daa480">#REF!</definedName>
    <definedName name="P3_Actv_Amt1">#REF!</definedName>
    <definedName name="Z_6F2D40DB_9E62_11D2_801D_0060B01A6EB2_.wvu.PrintArea">#REF!</definedName>
    <definedName name="Z_3EE9B1F1_964A_11D3_94D2_00C04F602AEF_.wvu.PrintArea">#REF!</definedName>
    <definedName name="RPTWKS21">#REF!</definedName>
    <definedName name="__11__123Graph_BCHART_2">#REF!</definedName>
    <definedName name="RPTDATACELL14">#REF!</definedName>
    <definedName name="P12_Actv_Amt1">#REF!</definedName>
    <definedName name="CyDec2">#REF!</definedName>
    <definedName name="__5__123Graph_FCHART_1">#REF!</definedName>
    <definedName name="CyMay2">#REF!</definedName>
    <definedName name="MLNKc39e6e5929104cab8dfe50137668510b">#REF!</definedName>
    <definedName name="_29__123Graph_XCHART_1">#REF!</definedName>
    <definedName name="Z_A2860F0F_949B_11D3_94D2_00C04F602AEF_.wvu.PrintArea">#REF!</definedName>
    <definedName name="uu">#REF!</definedName>
    <definedName name="MLNK9057ffe06e5947fd9c8a5bf4b2c872d0">#REF!</definedName>
    <definedName name="XRefPaste2">#REF!</definedName>
    <definedName name="r.Market">#REF!</definedName>
    <definedName name="CyAug2">#REF!</definedName>
    <definedName name="MLNK528dad895805485abe5998df7cd23e38">#REF!</definedName>
    <definedName name="MLNKcc8286b13bd947c3a5828c0cc9c6574d">#REF!</definedName>
    <definedName name="zDSCR_C">#REF!</definedName>
    <definedName name="_19__123Graph_ECHART_2">#REF!</definedName>
    <definedName name="MLNK391f7c8b572448bd9ad3ea41acbd5097">#REF!</definedName>
    <definedName name="__15_0_0_S">#REF!</definedName>
    <definedName name="AS2TickmarkLS">#REF!</definedName>
    <definedName name="_24__123Graph_XCHART_15">#REF!</definedName>
    <definedName name="r.Liquidity">#REF!</definedName>
    <definedName name="MLNK0e961409f33542cda31e34ca25fe968a">#REF!</definedName>
    <definedName name="MLNK01a66bf741b145d989a7cd9af7fe76eb">#REF!</definedName>
    <definedName name="_16__123Graph_DCHART_1">#REF!</definedName>
    <definedName name="CyJun2">#REF!</definedName>
    <definedName name="llls">#REF!</definedName>
    <definedName name="_bdm.B59434B10D0A488B96365642F27A3378.edm">#REF!</definedName>
    <definedName name="__123Graph_ACURRENT">#REF!</definedName>
    <definedName name="_39__123Graph_XCHART_17">#REF!</definedName>
    <definedName name="_Key1">#REF!</definedName>
    <definedName name="MLNK97c54198537b4833be9060b28457d113">#REF!</definedName>
    <definedName name="Z_3EE9B283_964A_11D3_94D2_00C04F602AEF_.wvu.PrintArea">#REF!</definedName>
    <definedName name="SSA_5">#REF!</definedName>
    <definedName name="_130__123Graph_XINV__BRASS">#REF!</definedName>
    <definedName name="Z_A06D49B4_FE5D_11D3_94EA_00C04F612D61_.wvu.PrintArea">#REF!</definedName>
    <definedName name="print4">#REF!</definedName>
    <definedName name="MLNKe4970bcb8e034db6895236552831d9b6">#REF!</definedName>
    <definedName name="MLNK31cd0b4c442b4780ac6a7c64f1b241be">#REF!</definedName>
    <definedName name="MLNK6c1a27fa7b5641b5861cb0fd2a1c2d03">#REF!</definedName>
    <definedName name="DATA_07">#REF!</definedName>
    <definedName name="MLNKb9382debf1644d73a73a1a0f7be95b72">#REF!</definedName>
    <definedName name="MLNKfbb06828b2dc461c95105f46d2d43843">#REF!</definedName>
    <definedName name="_25__123Graph_XCHART_17">#REF!</definedName>
    <definedName name="MLNKce7e6e211069413d9cc7c2e63a3773d8">#REF!</definedName>
    <definedName name="MLNK16c1233fee124713895323c138faee57">#REF!</definedName>
    <definedName name="ll">#REF!</definedName>
    <definedName name="MLNK8e3532c199044c659e19e1fc253f0632">#REF!</definedName>
    <definedName name="_bdm.0DE4E5B9EED6491BBE752C16F1717AA4.edm">#REF!</definedName>
    <definedName name="MLNKde8e7b63ad574f47b2968937a934c63b">#REF!</definedName>
    <definedName name="MLNKafafe9497bce4101b8376679dd35242d">#REF!</definedName>
    <definedName name="MLNKb0c480b346ca46c28e08850f1413a00e">#REF!</definedName>
    <definedName name="_37__123Graph_XCHART_10">#REF!</definedName>
    <definedName name="MLNK47f3b80d26b6491ca0f0b3d5dec5ce21">#REF!</definedName>
    <definedName name="__3__123Graph_ACHART_2">#REF!</definedName>
    <definedName name="LySep2">#REF!</definedName>
    <definedName name="MLNK0c743cf3fb82495999c4c34e8ec3295b">#REF!</definedName>
    <definedName name="_19__123Graph_DCHART_2">#REF!</definedName>
    <definedName name="MLNKee62f091e2b349aba5f24f572fc02b8a">#REF!</definedName>
    <definedName name="XRefPaste2Row">#REF!</definedName>
    <definedName name="Z_89481651_D00D_11D3_94E3_00C04F612D61_.wvu.PrintArea">#REF!</definedName>
    <definedName name="MLNK780079d8fdf944838a614f19ee8f8b28">#REF!</definedName>
    <definedName name="__123Graph_DMFGCOSGR">#REF!</definedName>
    <definedName name="_12_0_0_F">#REF!</definedName>
    <definedName name="_q654">#REF!</definedName>
    <definedName name="MLNK8661d5656149456bb0f1894281e17e81">#REF!</definedName>
    <definedName name="MLNKc77a3ef45bb241a6a14ac778c6da93d6">#REF!</definedName>
    <definedName name="r.Summary">#REF!</definedName>
    <definedName name="Z_36C1D6DA_94EC_11D2_801D_0060B01A6EB2_.wvu.PrintArea">#REF!</definedName>
    <definedName name="MLNK001a377ab44440c082b305944da1c738">#REF!</definedName>
    <definedName name="MLNKda841944b5da4b3cbc034f43079aa570">#REF!</definedName>
    <definedName name="hn._I031">#REF!</definedName>
    <definedName name="P8_Actv_Amt1">#REF!</definedName>
    <definedName name="P10_Actv_Amt1">#REF!</definedName>
    <definedName name="MLNK75edf74b2490419fa0ed3718dbba4db7">#REF!</definedName>
    <definedName name="CurrCrit">#REF!</definedName>
    <definedName name="MLNK7cd0e0db4dba40398576d08669acc9dd">#REF!</definedName>
    <definedName name="Z_0B432DE3_F278_11D2_9169_0060B01A6EB2_.wvu.PrintArea">#REF!</definedName>
    <definedName name="__123Graph_A">#REF!</definedName>
    <definedName name="Z_CAFB08CF_9067_11D3_94D0_00C04F602AEF_.wvu.PrintArea">#REF!</definedName>
    <definedName name="MLNK48f6771c6ba44d4ea7d5947324a68950">#REF!</definedName>
    <definedName name="XRefCopy1Row">#REF!</definedName>
    <definedName name="MLNKbc570a5d07934e6f8bdfb3c7a27166e9">#REF!</definedName>
    <definedName name="hn._I028">#REF!</definedName>
    <definedName name="MLNKec9ad603aeb74778b17df3bfc22556b3">#REF!</definedName>
    <definedName name="ExRate_Yr4">#REF!</definedName>
    <definedName name="MLNK9294374ac2d84ced88c2840201d7c8a8">#REF!</definedName>
    <definedName name="Z_138E77AE_F8DF_11D3_94E9_00C04F612D61_.wvu.PrintArea">#REF!</definedName>
    <definedName name="MLNK680b8953520a4eb782057dd50741574a">#REF!</definedName>
    <definedName name="MLNKbf30c38e23bc4fd2a8e1837fbb279948">#REF!</definedName>
    <definedName name="_1__123Graph_ACHART_1">#REF!</definedName>
    <definedName name="Z_A18F8547_B263_11D3_94DE_00C04F602AEF_.wvu.PrintArea">#REF!</definedName>
    <definedName name="movi">#REF!</definedName>
    <definedName name="_Table2_Out">#REF!</definedName>
    <definedName name="MLNK53c31785f33b45e08be8748cd0aa0c42">#REF!</definedName>
    <definedName name="MLNK1e1267fa65ec4c299115f8bff9b70e4c">#REF!</definedName>
    <definedName name="MLNK60fad2ae2ac441eba21798e7b544a5e4">#REF!</definedName>
    <definedName name="r.Leverage">#REF!</definedName>
    <definedName name="_bdm.D5474A28022442F68EB885FE42C3AD59.edm">#REF!</definedName>
    <definedName name="XRefPaste1Row">#REF!</definedName>
    <definedName name="Z_D74C7ACD_E604_11D3_94E6_00C04F612D61_.wvu.PrintArea">#REF!</definedName>
    <definedName name="MLNKb2332a768bcb482b967a4a918f60f197">#REF!</definedName>
    <definedName name="Z_1CCDDD74_3AAE_11D3_8C8A_000000000000_.wvu.PrintArea">#REF!</definedName>
    <definedName name="Qtr1_Actv_Amt1">#REF!</definedName>
    <definedName name="Z_390E4561_86E6_11D3_94D7_00C04F612D61_.wvu.PrintArea">#REF!</definedName>
    <definedName name="_bdm.6E6DF1EA41804541A061311E63507A14.edm">#REF!</definedName>
    <definedName name="_27__123Graph_XCHART_2">#REF!</definedName>
    <definedName name="_Table3_In2">#REF!</definedName>
    <definedName name="POPIN">#REF!</definedName>
    <definedName name="__123Graph_BMRP13GR">#REF!</definedName>
    <definedName name="MLNKede6f68225914612a0995b1f2c686aff">#REF!</definedName>
    <definedName name="MLNK77cac0e3d066436b9b2e4dea08900a91">#REF!</definedName>
    <definedName name="_5__123Graph_FCHART_1">#REF!</definedName>
    <definedName name="CyJan2">#REF!</definedName>
    <definedName name="ExRate_Yr2">#REF!</definedName>
    <definedName name="MLNKa46c5bc55f4748c7a29cc8e27c287ceb">#REF!</definedName>
    <definedName name="Exchange_Rates">#REF!</definedName>
    <definedName name="MLNKcb4ccf9d46e244ae9e595d5b4f21d047">#REF!</definedName>
    <definedName name="dd">#REF!</definedName>
    <definedName name="_CCCC">#REF!</definedName>
    <definedName name="MLNKa9e62f7e61904dbfa3a679752251e0b8">#REF!</definedName>
    <definedName name="p.Covenants">#REF!</definedName>
    <definedName name="_bdm.CDA68ACA859B44F2B2412D813C64734B.edm">#REF!</definedName>
    <definedName name="_45__123Graph_XCHART_5">#REF!</definedName>
    <definedName name="CheckMacro_PariP">#REF!</definedName>
    <definedName name="_44__123Graph_XCHART_4">#REF!</definedName>
    <definedName name="MLNK46f5951a43fe49cba5747a0b9d995d5f">#REF!</definedName>
    <definedName name="Z_06AC9F35_FA76_11D3_94DD_00C04FA0B046_.wvu.PrintArea">#REF!</definedName>
    <definedName name="MLNK7697bedfaa57434685b1b701e08c7d5c">#REF!</definedName>
    <definedName name="MLNK0703482017d64804865bb8406300c07a">#REF!</definedName>
    <definedName name="RPTWKS19">#REF!</definedName>
    <definedName name="_4__123Graph_ECHART_2">#REF!</definedName>
    <definedName name="MLNKb593f7575d2f4d45abe0d4f3d6d14f7a">#REF!</definedName>
    <definedName name="_13__123Graph_CCHART_15">#REF!</definedName>
    <definedName name="FADFDF">#REF!</definedName>
    <definedName name="MLNK75841f203e36440da26ff766e61f6ef2">#REF!</definedName>
    <definedName name="RPTWKS12">#REF!</definedName>
    <definedName name="_70__123Graph_CINV__BRASS">#REF!</definedName>
    <definedName name="DZ.IndSpec_Left">#REF!</definedName>
    <definedName name="MLNK235b1f840f8e44b7a491abb37aff729b">#REF!</definedName>
    <definedName name="_22__123Graph_XCHART_1">#REF!</definedName>
    <definedName name="_31__123Graph_XCHART_15">#REF!</definedName>
    <definedName name="MLNKdbf50c033c5440e1876a6da492201982">#REF!</definedName>
    <definedName name="_bdm.A050D299C9474ADE90B7C8666283AC49.edm">#REF!</definedName>
    <definedName name="MLNK60104775132e43448115682d05f21a4f">#REF!</definedName>
    <definedName name="_27__123Graph_ECHART_2">#REF!</definedName>
    <definedName name="_234Grapgh_a">#REF!</definedName>
    <definedName name="_bdm.1AEA3641AF7845EBAB2CD2BD3B8A3803.edm">#REF!</definedName>
    <definedName name="__4__123Graph_ACHART_4">#REF!</definedName>
    <definedName name="MLNKd03291b0d0954469bd60501594334ccf">#REF!</definedName>
    <definedName name="_bdm.E4B2E8A7930E4600ACF02FA1A464D73C.edm">#REF!</definedName>
    <definedName name="RPTDATACELL18">#REF!</definedName>
    <definedName name="RPTDATACELL6">#REF!</definedName>
    <definedName name="MLNKb6822f3e30824945b56abfd1af470a58">#REF!</definedName>
    <definedName name="MLNKbde8b7e0f71d47499171e3403b212b62">#REF!</definedName>
    <definedName name="_30__123Graph_AINV__STEEL">#REF!</definedName>
    <definedName name="MLNK4e1a4dd0207c433ab45a38da726f5aaf">#REF!</definedName>
    <definedName name="p.Summary_Titles">#REF!</definedName>
    <definedName name="MLNK6c666016b05e4526bd031411337c6e5d">#REF!</definedName>
    <definedName name="hn._I059">#REF!</definedName>
    <definedName name="BLPH9">#REF!</definedName>
    <definedName name="MLNKccb235ca1ad0469f8a1edb8f763a4037">#REF!</definedName>
    <definedName name="MLNK5e5f1ef5a1544e7282af8206054e3883">#REF!</definedName>
    <definedName name="Z_138E77CA_F8DF_11D3_94E9_00C04F612D61_.wvu.PrintArea">#REF!</definedName>
    <definedName name="_bdm.D943F25714D448DF8AFDA2A430A0C2B6.edm">#REF!</definedName>
    <definedName name="Z_A06D480D_FE5D_11D3_94EA_00C04F612D61_.wvu.PrintArea">#REF!</definedName>
    <definedName name="sdfgdsf">#REF!</definedName>
    <definedName name="RPTDATACELL3">#REF!</definedName>
    <definedName name="MLNK52551ed730f442dd9f898e4fa1302bb3">#REF!</definedName>
    <definedName name="MLNK198b42b9c67844699baa245b0e74f35f">#REF!</definedName>
    <definedName name="MLNK61f8d8f1c77d4ad9b779e612a70f4614">#REF!</definedName>
    <definedName name="__123Graph_X">#REF!</definedName>
    <definedName name="DATA_02">#REF!</definedName>
    <definedName name="__123Graph_CMFGCOSGR">#REF!</definedName>
    <definedName name="rngPickValues">#REF!</definedName>
    <definedName name="zIDC_Copy">#REF!</definedName>
    <definedName name="ltm_BalanceSheet">#REF!</definedName>
    <definedName name="MLNKc701624c20f14920b4f8adbb805b4167">#REF!</definedName>
    <definedName name="vl">#REF!</definedName>
    <definedName name="MLNK019c9a1ade5a494aafe9c6112f6b611c">#REF!</definedName>
    <definedName name="RPTDATACELL5">#REF!</definedName>
    <definedName name="kei">#REF!</definedName>
    <definedName name="MLNKc3807a442447421995ced2b8ce57ac8e">#REF!</definedName>
    <definedName name="hn._I075">#REF!</definedName>
    <definedName name="Z_DD27408C_6785_11D2_800D_0060B01A6EB2_.wvu.PrintArea">#REF!</definedName>
    <definedName name="eje">#REF!</definedName>
    <definedName name="MLNKd421f8859e0049398fe1c6c43ab4485d">#REF!</definedName>
    <definedName name="MLNK268c33bd968f40f092b82419d88e3ca5">#REF!</definedName>
    <definedName name="hn._P017">#REF!</definedName>
    <definedName name="hn._I018">#REF!</definedName>
    <definedName name="Z_EEDCBCAC_8399_11D2_8016_0060B01AC4B2_.wvu.PrintArea">#REF!</definedName>
    <definedName name="_3__123Graph_ACHART_2">#REF!</definedName>
    <definedName name="MLNKd80cd4a5e57a4f258d2ad81b449aae79">#REF!</definedName>
    <definedName name="__123Graph_CMRP13GR">#REF!</definedName>
    <definedName name="lotusgraphchart1x">#REF!</definedName>
    <definedName name="MLNK24028061c22a41609d78fec0db1f2f25">#REF!</definedName>
    <definedName name="qghjhfvg">#REF!</definedName>
    <definedName name="MLNKe7e3cceb69114597923b8bf240097afd">#REF!</definedName>
    <definedName name="XREF_COLUMN_3">#REF!</definedName>
    <definedName name="Z_D74C6F25_E604_11D3_94E6_00C04F612D61_.wvu.PrintArea">#REF!</definedName>
    <definedName name="Z_781D38AD_00AD_11D3_916C_0060B01A6EB2_.wvu.PrintArea">#REF!</definedName>
    <definedName name="p.LTM_IS">#REF!</definedName>
    <definedName name="CyNov2">#REF!</definedName>
    <definedName name="MLNK5b4c7841efc0449b940e47622b969ee4">#REF!</definedName>
    <definedName name="__123Graph_DMRP13GR">#REF!</definedName>
    <definedName name="_bdm.377780DD38A040C6B03BB15E83BCB7D7.edm">#REF!</definedName>
    <definedName name="_30__123Graph_XCHART_10">#REF!</definedName>
    <definedName name="Z_795B27E2_B3C0_11D2_801F_0060B01A6EB2_.wvu.PrintArea">#REF!</definedName>
    <definedName name="_21__123Graph_DCHART_2">#REF!</definedName>
    <definedName name="hn.USLast">#REF!</definedName>
    <definedName name="_Key2">#REF!</definedName>
    <definedName name="_bdm.6A3578BF8CF743B0A56F09BAE422CC18.edm">#REF!</definedName>
    <definedName name="MLNKb7e8b97102834b4d86c600114f34bf53">#REF!</definedName>
    <definedName name="Z_55752DE4_DAF1_11D2_8029_0060B01A6EB2_.wvu.PrintArea">#REF!</definedName>
    <definedName name="RPTDATACELL15">#REF!</definedName>
    <definedName name="__9__123Graph_BCHART_17">#REF!</definedName>
    <definedName name="BALAN">#REF!</definedName>
    <definedName name="Z_B49E3C17_C2B6_11D3_94E0_00C04F612D61_.wvu.PrintArea">#REF!</definedName>
    <definedName name="Cwvu.GREY_ALL.">#REF!</definedName>
    <definedName name="Z_FC0AB2EA_AC5F_11D3_94DB_00C04F602AEF_.wvu.PrintArea">#REF!</definedName>
    <definedName name="__7__123Graph_BCHART_10">#REF!</definedName>
    <definedName name="Z_D74C736A_E604_11D3_94E6_00C04F612D61_.wvu.PrintArea">#REF!</definedName>
    <definedName name="_32__123Graph_XCHART_17">#REF!</definedName>
    <definedName name="RPTWKS10">#REF!</definedName>
    <definedName name="_bdm.6B401DBBA04E4A419C4F809AF9570E97.edm">#REF!</definedName>
    <definedName name="_17__123Graph_DCHART_1">#REF!</definedName>
    <definedName name="p.LTM_BS">#REF!</definedName>
    <definedName name="_bdm.2B74265869564BADBADE8A4D4CD69601.edm">#REF!</definedName>
    <definedName name="_bdm.ABDABBA30F81411B8E4277FC0856A3B2.edm">#REF!</definedName>
    <definedName name="Qtr2_Actv_Amt1">#REF!</definedName>
    <definedName name="MLNKca51ba5166cd4bfcb85a10fa304a4b24">#REF!</definedName>
    <definedName name="_Table1_Out">#REF!</definedName>
    <definedName name="MLNK0a70a191053c48a09c64a46b5c8779f4">#REF!</definedName>
    <definedName name="_bdm.D87B211EB0E24ADA81BEDD7F5D515CB9.edm">#REF!</definedName>
    <definedName name="_36__123Graph_XCHART_1">#REF!</definedName>
    <definedName name="Z_89196099_EBAD_11D3_94DA_00C04FA0B046_.wvu.PrintArea">#REF!</definedName>
    <definedName name="MLNK77e076a4ed9349698d4658a2229e0da4">#REF!</definedName>
    <definedName name="d">#REF!</definedName>
    <definedName name="MLNK574a7f7be94049748da361f72b6d5b7a">#REF!</definedName>
    <definedName name="MLNKdc0ea4cef302466ea7444cb1e73015fb">#REF!</definedName>
    <definedName name="MLNK52a97a82f6e24bd19412f9cdc5734797">#REF!</definedName>
    <definedName name="_140__123Graph_XINV__CHINA">#REF!</definedName>
    <definedName name="CAPEX_Out">#REF!</definedName>
    <definedName name="QRYWKS1">#REF!</definedName>
    <definedName name="BLPH3">#REF!</definedName>
    <definedName name="RPTDATACELL12">#REF!</definedName>
    <definedName name="hn.FromMain5">#REF!</definedName>
    <definedName name="_14__123Graph_CCHART_17">#REF!</definedName>
    <definedName name="Z_795B28D1_B3C0_11D2_801F_0060B01A6EB2_.wvu.PrintArea">#REF!</definedName>
    <definedName name="MLNK5a353939d37d4652961da9f60ca66baf">#REF!</definedName>
    <definedName name="sss">#REF!</definedName>
    <definedName name="_33__123Graph_FCHART_2">#REF!</definedName>
    <definedName name="MLNK485c34f54cdd4a2db00d6b909f862b04">#REF!</definedName>
    <definedName name="CyFeb2">#REF!</definedName>
    <definedName name="LLKJ">#REF!</definedName>
    <definedName name="sfbgsfbgsfbg">#REF!</definedName>
    <definedName name="MLNK8f48e9e164cc4f2a97b118d5693691e6">#REF!</definedName>
    <definedName name="MLNK56823b80cf6446c7a05187cfd8ec4cc9">#REF!</definedName>
    <definedName name="hn._I070">#REF!</definedName>
    <definedName name="MLNKd1d2ed090f7f4ad794311d75f5c97b92">#REF!</definedName>
    <definedName name="Z_D74C790F_E604_11D3_94E6_00C04F612D61_.wvu.PrintArea">#REF!</definedName>
    <definedName name="hn._I071">#REF!</definedName>
    <definedName name="CPL_Acct1">#REF!</definedName>
    <definedName name="hn.CopyforPR">#REF!</definedName>
    <definedName name="DATA_03">#REF!</definedName>
    <definedName name="RPTWKS9">#REF!</definedName>
    <definedName name="MLNK3faccdc69ac0445a9525f647d7f5fbe5">#REF!</definedName>
    <definedName name="P4_Actv_Amt1">#REF!</definedName>
    <definedName name="MLNK343b429a5fa44c1caf53091c151dcb91">#REF!</definedName>
    <definedName name="BLPH10">#REF!</definedName>
    <definedName name="MLNK6f6e271d396e466ba6e51c46af46524a">#REF!</definedName>
    <definedName name="_bdm.64EE522A4EC54CC6A4C07A7DB730EC0B.edm">#REF!</definedName>
    <definedName name="p.CreditStats">#REF!</definedName>
    <definedName name="MLNK46856a21dfad4189ad145c84b13e9fcb">#REF!</definedName>
    <definedName name="MLNK77daca343adf42208b56a783bd49ad66">#REF!</definedName>
    <definedName name="P7_Actv_Amt1">#REF!</definedName>
    <definedName name="MLNK005c4a6caf074ff0a5a06bd7268af2b2">#REF!</definedName>
    <definedName name="hn._I029">#REF!</definedName>
    <definedName name="TrancheD_DSCR_Paste">#REF!</definedName>
    <definedName name="MLNK01731f64d24a4ec6ae47c2641834863d">#REF!</definedName>
    <definedName name="MLNK41cc6c7d950a4ad980659c234f4bd189">#REF!</definedName>
    <definedName name="Z_A2860FA1_949B_11D3_94D2_00C04F602AEF_.wvu.PrintArea">#REF!</definedName>
    <definedName name="Z_A1CC2EEB_9D38_11D3_94D4_00C04F602AEF_.wvu.PrintArea">#REF!</definedName>
    <definedName name="MLNKc15e91d42bea4c8ea94f5062863a1edd">#REF!</definedName>
    <definedName name="MLNKf3997cbc8ae7439699573a554e0190f3">#REF!</definedName>
    <definedName name="_bdm.815A81E55A17449995E18321E4E3DB14.edm">#REF!</definedName>
    <definedName name="Department_Code1">#REF!</definedName>
    <definedName name="MLNKfa5da341a9b94e29b2d8c85c58b43814">#REF!</definedName>
    <definedName name="MLNKaf20ea63a51e4a2ea93804f09f03d608">#REF!</definedName>
    <definedName name="BLPH2">#REF!</definedName>
    <definedName name="__7__123Graph_XCHART_1">#REF!</definedName>
    <definedName name="MLNKc41f76401ba14c199920511361ab0dc0">#REF!</definedName>
    <definedName name="Z_CA9BF89C_7273_11D3_94D6_00C04F612D61_.wvu.PrintArea">#REF!</definedName>
    <definedName name="LOLO">#REF!</definedName>
    <definedName name="MLNK03ad89b5910c4c4bbe029e6536b62cc6">#REF!</definedName>
    <definedName name="MLNK834ecb39cafd4eefb6f60dc81f326dae">#REF!</definedName>
    <definedName name="MLNKb474d6c157ee46f8bbda002a63d1d784">#REF!</definedName>
    <definedName name="MLNK2823acf564974276ad6fb3f2fc362001">#REF!</definedName>
    <definedName name="ExRate_Yr7">#REF!</definedName>
    <definedName name="MLNK1dc5babab5ef4fcbaa130ab2025be356">#REF!</definedName>
    <definedName name="_bdm.243A4BA47DF545C28E99878435323943.edm">#REF!</definedName>
    <definedName name="Z_D74C6D72_E604_11D3_94E6_00C04F612D61_.wvu.PrintArea">#REF!</definedName>
    <definedName name="ExRateLTM_Yr1">#REF!</definedName>
    <definedName name="hn.LTMData">#REF!</definedName>
    <definedName name="Z_722C8D93_BC62_11D3_94DF_00C04F612D61_.wvu.PrintArea">#REF!</definedName>
    <definedName name="MLNKf241b3045d034988af798c3135af4a36">#REF!</definedName>
    <definedName name="MLNK5a6b736173604d4092ba8725629286e9">#REF!</definedName>
    <definedName name="Z_3374E370_4024_11D3_8C96_000000000000_.wvu.PrintArea">#REF!</definedName>
    <definedName name="hn._P001">#REF!</definedName>
    <definedName name="MLNK81115026a7f2498b899809dfa3cdb7f8">#REF!</definedName>
    <definedName name="RPTWKS7">#REF!</definedName>
    <definedName name="MLNKe1cdcd4f92184e77be441dd5c1c3c0b4">#REF!</definedName>
    <definedName name="MLNKc561ea34c3ea48c994149005471bdf36">#REF!</definedName>
    <definedName name="RPTWKS52">#REF!</definedName>
    <definedName name="MLNK66a6bf8e139d4ebc86b19c926a51349f">#REF!</definedName>
    <definedName name="MLNKb10478f7305247118190401af69d23cd">#REF!</definedName>
    <definedName name="_27__123Graph_FCHART_2">#REF!</definedName>
    <definedName name="MLNKfcdc72561bae433fa342c79a35164dbb">#REF!</definedName>
    <definedName name="_20__123Graph_FCHART_1">#REF!</definedName>
    <definedName name="__3__123Graph_ECHART_1">#REF!</definedName>
    <definedName name="Z_0B432A8C_F278_11D2_9169_0060B01A6EB2_.wvu.PrintArea">#REF!</definedName>
    <definedName name="_18__123Graph_ECHART_1">#REF!</definedName>
    <definedName name="MLNKfd779367f5584a46bdc4fb6eab0cc155">#REF!</definedName>
    <definedName name="Z_795B2A17_B3C0_11D2_801F_0060B01A6EB2_.wvu.PrintArea">#REF!</definedName>
    <definedName name="BLPH1">#REF!</definedName>
    <definedName name="_35__123Graph_XCHART_2">#REF!</definedName>
    <definedName name="ahhnrt">#REF!</definedName>
    <definedName name="MLNK26e5e265ccc74d1fbcb6b832cf9466f5">#REF!</definedName>
    <definedName name="RPTDATACELL16">#REF!</definedName>
    <definedName name="MLNK3a8e0750b7614166971c90998f91ed03">#REF!</definedName>
    <definedName name="MLNK02024e7b160b46fb8f27b1ede2ebd0a5">#REF!</definedName>
    <definedName name="Z_8A9C8C59_0D13_11D3_8026_0060B01A6EB2_.wvu.PrintArea">#REF!</definedName>
    <definedName name="Z_D74C787B_E604_11D3_94E6_00C04F612D61_.wvu.PrintArea">#REF!</definedName>
    <definedName name="MLNK7e8ad5af1d994118ad9004506ddbcb3d">#REF!</definedName>
    <definedName name="Z_E8179140_DD91_11D3_94ED_00C04F602AEF_.wvu.PrintArea">#REF!</definedName>
    <definedName name="hn.domestic">#REF!</definedName>
    <definedName name="MLNKf068c4b8f77c406ca08856a265980801">#REF!</definedName>
    <definedName name="Z_4B4009D6_E3A8_11D3_94EE_00C04F602AEF_.wvu.PrintArea">#REF!</definedName>
    <definedName name="_bdm.B5F000412C0F410E9C8C86724A837CDA.edm">#REF!</definedName>
    <definedName name="_110__123Graph_DINV__CHINA">#REF!</definedName>
    <definedName name="RPTDATACELL10">#REF!</definedName>
    <definedName name="MLNK3438ee8f4c9a44deab7b3d1cf5f1a087">#REF!</definedName>
    <definedName name="sdvsfdvfdsb">#REF!</definedName>
    <definedName name="Z_A06D4791_FE5D_11D3_94EA_00C04F612D61_.wvu.PrintArea">#REF!</definedName>
    <definedName name="__123Graph_BMEMB">#REF!</definedName>
    <definedName name="RPTWKS6">#REF!</definedName>
    <definedName name="MLNKed95329ca4e14ae59b47413add114d8b">#REF!</definedName>
    <definedName name="hn.Add015">#REF!</definedName>
    <definedName name="_25__123Graph_FCHART_1">#REF!</definedName>
    <definedName name="hn._I051">#REF!</definedName>
    <definedName name="MLNKed5f2748a350450fb5532d8cdb7579f9">#REF!</definedName>
    <definedName name="_Table2_In2">#REF!</definedName>
    <definedName name="RPTDATACELL21">#REF!</definedName>
    <definedName name="RPTWKS13">#REF!</definedName>
    <definedName name="MLNK265379140a784b388b13b1e63fe037d1">#REF!</definedName>
    <definedName name="MLNK51e861eb7b4542b1a1d8df83e67837d4">#REF!</definedName>
    <definedName name="ksi">#REF!</definedName>
    <definedName name="_15__123Graph_CCHART_19">#REF!</definedName>
    <definedName name="ExRate_Yr3">#REF!</definedName>
    <definedName name="MLNK8100049daf104b4b852802c090d04e36">#REF!</definedName>
    <definedName name="_15_0_0_S">#REF!</definedName>
    <definedName name="MLNK4d70cbac7b224f1183969ad2ec7dec6d">#REF!</definedName>
    <definedName name="DPS">#REF!</definedName>
    <definedName name="__123Graph_D">#REF!</definedName>
    <definedName name="hn.FromMain">#REF!</definedName>
    <definedName name="hn._P016">#REF!</definedName>
    <definedName name="_bdm.B0956A6A712D4329A0A4D74F9C642941.edm">#REF!</definedName>
    <definedName name="MLNK5c6ee260065241c780c7c0bc683b3946">#REF!</definedName>
    <definedName name="Z_9BE98507_F126_11D3_94E7_00C04F612D61_.wvu.PrintArea">#REF!</definedName>
    <definedName name="MLNK849c73c2905e4456b6b4b50d628388e4">#REF!</definedName>
    <definedName name="_bdm.E977F4E35C6C4009A0658C4619F3BF4E.edm">#REF!</definedName>
    <definedName name="__123Graph_BMFGCOSGR">#REF!</definedName>
    <definedName name="__14__123Graph_CCHART_17">#REF!</definedName>
    <definedName name="__12__123Graph_BCHART_4">#REF!</definedName>
    <definedName name="MLNK698bd5092d094f3988496dffe0ea7a91">#REF!</definedName>
    <definedName name="MLNK2d193b1b64a94e9fb80c9925723939a6">#REF!</definedName>
    <definedName name="MLNK2690ed90b3ce45a1a2c77a93e77e3eeb">#REF!</definedName>
    <definedName name="Z_138E7870_F8DF_11D3_94E9_00C04F612D61_.wvu.PrintArea">#REF!</definedName>
    <definedName name="Z_722C8872_BC62_11D3_94DF_00C04F612D61_.wvu.PrintArea">#REF!</definedName>
    <definedName name="_234Graph_C">#REF!</definedName>
    <definedName name="MLNKe2e91821c64f45c3b5746d74a225e813">#REF!</definedName>
    <definedName name="MLNK488d529b9f324302b6b0a418c7fe2104">#REF!</definedName>
    <definedName name="MLNK7c0dcf6da34c4abeba661caae8786f7d">#REF!</definedName>
    <definedName name="Z_9B6F4435_ABB4_11D2_801F_0060B01A6EB2_.wvu.PrintArea">#REF!</definedName>
    <definedName name="MLNKfe8be30966fa423ab2ba0897fa8ca93e">#REF!</definedName>
    <definedName name="hn.DZ_MultByFXRates">#REF!</definedName>
    <definedName name="CFADScheck">#REF!</definedName>
    <definedName name="Z_CAFB083F_9067_11D3_94D0_00C04F602AEF_.wvu.PrintArea">#REF!</definedName>
    <definedName name="_1__123Graph_DCHART_1">#REF!</definedName>
    <definedName name="MLNKe38d15bd162941938ce89d7a0d4f9a79">#REF!</definedName>
    <definedName name="_bdm.41D2027076DF4C97BF95FAE8FE7E0BDF.edm">#REF!</definedName>
    <definedName name="_bdm.81B46239570A4D538A5083C9655C19AA.edm">#REF!</definedName>
    <definedName name="_bdm.18D50EE0F65C422EAB1A6ADBC9751628.edm">#REF!</definedName>
    <definedName name="LyMar2">#REF!</definedName>
    <definedName name="DATA_01">#REF!</definedName>
    <definedName name="CPL_Acct_Desc1">#REF!</definedName>
    <definedName name="IVA">#REF!</definedName>
    <definedName name="MLNK024f6fcd88964b27921c04efb15798ad">#REF!</definedName>
    <definedName name="RPTDATACELL23">#REF!</definedName>
    <definedName name="_bdm.C4D0CA9D197A40FC9837075EB5CA7B98.edm">#REF!</definedName>
    <definedName name="P9_Actv_Amt1">#REF!</definedName>
    <definedName name="hn._I077">#REF!</definedName>
    <definedName name="_36__123Graph_XCHART_4">#REF!</definedName>
    <definedName name="_24__123Graph_ECHART_1">#REF!</definedName>
    <definedName name="r.CashFlow">#REF!</definedName>
    <definedName name="CreditStats">#REF!</definedName>
    <definedName name="ola">#REF!</definedName>
    <definedName name="___123Graph__AA">#REF!</definedName>
    <definedName name="MLNK975b86f193be4c53b65c1b749ff9e83c">#REF!</definedName>
    <definedName name="Z_06AF62AE_3F63_11D3_8C95_000000000000_.wvu.PrintArea">#REF!</definedName>
    <definedName name="pas">#REF!</definedName>
    <definedName name="MLNKe1438b70d4514265b7caae912b43b18a">#REF!</definedName>
    <definedName name="_8__123Graph_XCHART_2">#REF!</definedName>
    <definedName name="Z_722C8A68_BC62_11D3_94DF_00C04F612D61_.wvu.PrintArea">#REF!</definedName>
    <definedName name="MLNK98f53f65a15f42858f13331a113be74f">#REF!</definedName>
    <definedName name="MLNKf5b75a01e4c54ad08d8eb2d34ac872c3">#REF!</definedName>
    <definedName name="Swvu.summary2.">#REF!</definedName>
    <definedName name="_bdm.314D372A7E1949D1954C83CF753424E0.edm">#REF!</definedName>
    <definedName name="MLNK6972c981c8eb4e4690caced2c50e4471">#REF!</definedName>
    <definedName name="_bdm.581D01F3D57A4B1B91BD716BDA60D48C.edm">#REF!</definedName>
    <definedName name="bbbb">#REF!</definedName>
    <definedName name="_bdm.163933F895DC4B0BADAFC0BBF1582465.edm">#REF!</definedName>
    <definedName name="MerrillPrintIt">#REF!</definedName>
    <definedName name="_bdm.FD553FDF544E4F21A2A6B193F2E61604.edm">#REF!</definedName>
    <definedName name="MLNK5ab858169cfd451d9cb7dbc34a7a3363">#REF!</definedName>
    <definedName name="XRefCopy2Row">#REF!</definedName>
    <definedName name="_bdm.D4F4CD034E3244DF9CE5A22BEEA9623F.edm">#REF!</definedName>
    <definedName name="MLNK0ffa736ba8ed474fa685dd53bac61b11">#REF!</definedName>
    <definedName name="Z_FB37AAA2_E08C_11D2_8029_0060B01A6EB2_.wvu.PrintArea">#REF!</definedName>
    <definedName name="MLNK8783b1fe316d4020bc2e63cb13dceef8">#REF!</definedName>
    <definedName name="MLNK51bb012b75bd4df48b4823ce53c3853a">#REF!</definedName>
    <definedName name="hn.Global">#REF!</definedName>
    <definedName name="MLNK5157ab0adcf949f391819960cdbc802c">#REF!</definedName>
    <definedName name="__12_0_0_F">#REF!</definedName>
    <definedName name="Qtr3_Actv_Amt1">#REF!</definedName>
    <definedName name="MLNK5775093305f74395995afbfe42c0fd12">#REF!</definedName>
    <definedName name="MLNK3fd972fde5ea4b2ca531138af49c3ad9">#REF!</definedName>
    <definedName name="MLNKdacd75704a1942f7b60a761e2fdd34fc">#REF!</definedName>
    <definedName name="QRYDATA1">#REF!</definedName>
    <definedName name="MLNK340eca662a2d4b67995539bb1fe91033">#REF!</definedName>
    <definedName name="_bdm.EA974CC7D3FF464DBFB2F8616BABB6C2.edm">#REF!</definedName>
    <definedName name="MLNK00f7cfb43d6f4d0e8b977b9db5328d22">#REF!</definedName>
    <definedName name="QRYWKS2">#REF!</definedName>
    <definedName name="__123Graph_AMEMB">#REF!</definedName>
    <definedName name="_9_0_S">#REF!</definedName>
    <definedName name="MLNK9b65f1d2fc2f43ecbf32d2b8fd38eadf">#REF!</definedName>
    <definedName name="_20__123Graph_AINV__CHINA">#REF!</definedName>
    <definedName name="_38__123Graph_XCHART_15">#REF!</definedName>
    <definedName name="MLNK71b0567451374352874705ad320ab702">#REF!</definedName>
    <definedName name="_bdm.600FEB8398F74ED7A7DEEE50EF071AA3.edm">#REF!</definedName>
    <definedName name="Z_722C8C5E_BC62_11D3_94DF_00C04F612D61_.wvu.PrintArea">#REF!</definedName>
    <definedName name="MLNKa33894d05c0a429f8db985b16047c368">#REF!</definedName>
    <definedName name="RPTWKS11">#REF!</definedName>
    <definedName name="_bdm.331A9F2B0D9642FCAFD12FCB2B93EBB7.edm">#REF!</definedName>
    <definedName name="p.Summary">#REF!</definedName>
    <definedName name="P11_Actv_Amt1">#REF!</definedName>
    <definedName name="Z_59DC2A9C_3DF3_11D3_8C92_000000000000_.wvu.PrintArea">#REF!</definedName>
    <definedName name="Z_875F1EBE_BC71_11D3_8C83_000000000000_.wvu.PrintArea">#REF!</definedName>
    <definedName name="Z_630A7C8D_C852_11D3_94E8_00C04F602AEF_.wvu.PrintArea">#REF!</definedName>
    <definedName name="ERTY">#REF!</definedName>
    <definedName name="MLNK6f972c406ad4447c9b9287fad03c2ca0">#REF!</definedName>
    <definedName name="MLNK33df6a8628be4b53a8bbdfa1adf8229a">#REF!</definedName>
    <definedName name="Z_AEFAD2E8_D55C_11D2_8027_0060B01A6EB2_.wvu.PrintArea">#REF!</definedName>
    <definedName name="RPTWKS3">#REF!</definedName>
    <definedName name="Z_B468079E_EDD3_11D3_94DB_00C04FA0B046_.wvu.PrintArea">#REF!</definedName>
    <definedName name="Z_0EF37FB7_DAF6_11D3_94D7_00C04FA0B046_.wvu.PrintArea">#REF!</definedName>
    <definedName name="RedefinePrintTableRange">#REF!</definedName>
    <definedName name="__2__123Graph_ACHART_10">#REF!</definedName>
    <definedName name="CyOct2">#REF!</definedName>
    <definedName name="p.Covenants_Titles">#REF!</definedName>
    <definedName name="__123Graph_AMRP13GR">#REF!</definedName>
    <definedName name="Z_FC0AB258_AC5F_11D3_94DB_00C04F602AEF_.wvu.PrintArea">#REF!</definedName>
    <definedName name="MLNK4bdf1d47a9a245f0bb49cd5b8e74a3f9">#REF!</definedName>
    <definedName name="_23__123Graph_ECHART_2">#REF!</definedName>
    <definedName name="__123Graph_E">#REF!</definedName>
    <definedName name="MLNKfd095d0c3b154d978479a9506c8035bb">#REF!</definedName>
    <definedName name="RPTDATACELL4">#REF!</definedName>
    <definedName name="MLNK8513d1befdf44999854e0cb194443a35">#REF!</definedName>
    <definedName name="MLNK4d5d96565e3a46b2853c91549e96a7d3">#REF!</definedName>
    <definedName name="RPTDATACELL17">#REF!</definedName>
    <definedName name="__123Graph_B">#REF!</definedName>
    <definedName name="P2_Actv_Amt1">#REF!</definedName>
    <definedName name="RPTWKS23">#REF!</definedName>
    <definedName name="Z_781D3F23_00AD_11D3_916C_0060B01A6EB2_.wvu.PrintArea">#REF!</definedName>
    <definedName name="RPTDATACELL19">#REF!</definedName>
    <definedName name="_5__123Graph_ACHART_5">#REF!</definedName>
    <definedName name="hn._I085">#REF!</definedName>
    <definedName name="MLNKdd5d0223b2714f2bafa3ca0525805489">#REF!</definedName>
    <definedName name="hn.YearLabel">#REF!</definedName>
    <definedName name="P1_Actv_Amt1">#REF!</definedName>
    <definedName name="MLNK5a986dfef2fd49bdbdcab4eefe7dd659">#REF!</definedName>
    <definedName name="Z_CAFB0A43_9067_11D3_94D0_00C04F602AEF_.wvu.PrintArea">#REF!</definedName>
    <definedName name="__123Grapgh__s">#REF!</definedName>
    <definedName name="_90__123Graph_CINV__STEEL">#REF!</definedName>
    <definedName name="hn.FromMain4">#REF!</definedName>
    <definedName name="PL_Acct1">#REF!</definedName>
    <definedName name="__9_0_S">#REF!</definedName>
    <definedName name="MLNKe0de9aadc8044a77b9a7b9c9088d1868">#REF!</definedName>
    <definedName name="MLNKeb3bd99be41f486eb5decd20ecbca2f1">#REF!</definedName>
    <definedName name="MLNK3bbaac6bc63c402f92667b8bce03521c">#REF!</definedName>
    <definedName name="RPTDATACELL11">#REF!</definedName>
    <definedName name="ChangeRange">#REF!</definedName>
    <definedName name="_37__123Graph_XCHART_5">#REF!</definedName>
    <definedName name="MLNK0824d9696b3a4a59a80ed29298e9d313">#REF!</definedName>
    <definedName name="MLNK41456b33523f43678d842cc719288b2d">#REF!</definedName>
    <definedName name="r.LTMInterim">#REF!</definedName>
    <definedName name="OP">#REF!</definedName>
    <definedName name="RPTWKS5">#REF!</definedName>
    <definedName name="Z_45C4ADC6_6DE9_11D3_8CD4_006097940621_.wvu.PrintArea">#REF!</definedName>
    <definedName name="MLNKc8c5c17771c140d3b2b9d5918a32455b">#REF!</definedName>
    <definedName name="MLNK759710297091474db8a57572ec8ef490">#REF!</definedName>
    <definedName name="RPTWKS17">#REF!</definedName>
    <definedName name="QRYCOLS2">#REF!</definedName>
    <definedName name="Z_FB37B214_E08C_11D2_8029_0060B01A6EB2_.wvu.PrintArea">#REF!</definedName>
    <definedName name="hn._P002">#REF!</definedName>
    <definedName name="__1__123Graph_DCHART_1">#REF!</definedName>
    <definedName name="MLNKd9f5c247391343949a8eb2a158504d84">#REF!</definedName>
    <definedName name="Z_722C8E2B_BC62_11D3_94DF_00C04F612D61_.wvu.PrintArea">#REF!</definedName>
    <definedName name="MLNK09632057234c4d04a68730d2e66c8775">#REF!</definedName>
    <definedName name="MLNKfc7ce4cc874746238616afb75daa0df8">#REF!</definedName>
    <definedName name="ExRate_Yr1">#REF!</definedName>
    <definedName name="XRefPaste3">#REF!</definedName>
    <definedName name="ezrtrezt">#REF!</definedName>
    <definedName name="MLNK03a95ba3b6984e9da910937e0b52774c">#REF!</definedName>
    <definedName name="hn._I024">#REF!</definedName>
    <definedName name="IntroPrintArea">#REF!</definedName>
    <definedName name="_Dist_Bin">#REF!</definedName>
    <definedName name="Yr_End__Actv_Amt1">#REF!</definedName>
    <definedName name="hn._I044">#REF!</definedName>
    <definedName name="MLNKafe2e7f9d8044ad4a86420f77feb8284">#REF!</definedName>
    <definedName name="__10__123Graph_BCHART_19">#REF!</definedName>
    <definedName name="_bdm.9038CA44033F4619959F4C6CAD5EC812.edm">#REF!</definedName>
    <definedName name="MLNK18656fd1df1842648fb4112b1d040649">#REF!</definedName>
    <definedName name="MLNK77b17797381c4a139ebf9a4c1e4e515c">#REF!</definedName>
    <definedName name="MLNK5561e19edf1e466383f62200300fbfac">#REF!</definedName>
    <definedName name="_bdm.6235F5964398458E887C7E5F9449C154.edm">#REF!</definedName>
    <definedName name="hn.ParityCheck">#REF!</definedName>
    <definedName name="USDollar">#REF!</definedName>
    <definedName name="__15__123Graph_CCHART_19">#REF!</definedName>
    <definedName name="MLNKc7c0a65912324c4ab16431012ca67af1">#REF!</definedName>
    <definedName name="CSDCDS">#REF!</definedName>
    <definedName name="MLNKe801d2d1c8ee43e0ac271f4b9dfb7f4c">#REF!</definedName>
    <definedName name="MLNK29b35a2c658345639e979d8a965c8016">#REF!</definedName>
    <definedName name="REZTEZRT">#REF!</definedName>
    <definedName name="MLNKab37a5e12986402bb1b5ac6948610d35">#REF!</definedName>
    <definedName name="hn.FromMain2">#REF!</definedName>
    <definedName name="Department_Desc1">#REF!</definedName>
    <definedName name="_7__123Graph_BCHART_10">#REF!</definedName>
    <definedName name="MLNKf664e974f20746d4ae66d754fd688505">#REF!</definedName>
    <definedName name="MLNKc05198f946ea4266a947363b711a3fa1">#REF!</definedName>
    <definedName name="_18__123Graph_DCHART_1">#REF!</definedName>
    <definedName name="Z_0E86059D_B79D_11D3_94E0_00C04F602AEF_.wvu.PrintArea">#REF!</definedName>
    <definedName name="hn._I006">#REF!</definedName>
    <definedName name="ddd">#REF!</definedName>
    <definedName name="hn.PrivateLTMYear">#REF!</definedName>
    <definedName name="MLNK91dabb3b716d46c289f4d849223935dc">#REF!</definedName>
    <definedName name="_bdm.285F2A2BEE354D7EB1ED9D1925E712C3.edm">#REF!</definedName>
    <definedName name="ExRate_Yr6">#REF!</definedName>
    <definedName name="MLNK98257a6b76f64868915d5f85a20bf122">#REF!</definedName>
    <definedName name="MLNK02214cff69f141f1b189eceb6f0cd52c">#REF!</definedName>
    <definedName name="ExRate_Yr5">#REF!</definedName>
    <definedName name="_30__123Graph_FCHART_1">#REF!</definedName>
    <definedName name="MLNK701922eb22e9448085ad4194c42a729a">#REF!</definedName>
    <definedName name="_234Graph_AB">#REF!</definedName>
    <definedName name="_33__123Graph_XCHART_19">#REF!</definedName>
    <definedName name="_50__123Graph_BINV__CHINA">#REF!</definedName>
    <definedName name="_4__123Graph_ACHART_4">#REF!</definedName>
    <definedName name="MLNK173eb0835b2f4d71bf0d59c913a171d0">#REF!</definedName>
    <definedName name="CyApr2">#REF!</definedName>
    <definedName name="Z_8A9C8F32_0D13_11D3_8026_0060B01A6EB2_.wvu.PrintArea">#REF!</definedName>
    <definedName name="__123Graph_XMFGCOSGR">#REF!</definedName>
    <definedName name="_Sort">#REF!</definedName>
    <definedName name="MLNK3e2ba9adcc6d47a3a91c411e84736bf1">#REF!</definedName>
    <definedName name="_10__123Graph_BCHART_19">#REF!</definedName>
    <definedName name="_Table2_In1">#REF!</definedName>
    <definedName name="_DCF1">#REF!</definedName>
    <definedName name="RPTWKS14">#REF!</definedName>
    <definedName name="dddd">#REF!</definedName>
    <definedName name="MLNKf2b84286a4d34406934db5b538faf5b6">#REF!</definedName>
    <definedName name="MLNKe1054a241b1844b2850e562918a75904">#REF!</definedName>
    <definedName name="MLNK9778ad37b5634778b9599541ff438ac6">#REF!</definedName>
    <definedName name="Z_E3359E54_F4E5_11D3_94DB_00C04FA0B046_.wvu.PrintArea">#REF!</definedName>
    <definedName name="MLNK6ce36c2263be47228a2fb5fe40496993">#REF!</definedName>
    <definedName name="hn._P014">#REF!</definedName>
    <definedName name="_150__123Graph_XINV__STEEL">#REF!</definedName>
    <definedName name="_Dist_Values">#REF!</definedName>
    <definedName name="hn._P021">#REF!</definedName>
    <definedName name="MLNKa96900bbedcd4601afd9a60e2db36563">#REF!</definedName>
    <definedName name="Z_3FA1C490_192D_11D3_802B_0060B01A6EB2_.wvu.PrintArea">#REF!</definedName>
    <definedName name="Z_B8DFAC8E_92C4_11D3_94D1_00C04F602AEF_.wvu.PrintArea">#REF!</definedName>
    <definedName name="_1__123Graph_BCHART_5">#REF!</definedName>
    <definedName name="MLNK1c391c05d1de47c7af73d2067682e670">#REF!</definedName>
    <definedName name="MLNKffc5f760d6d64b5d82031357095dcd26">#REF!</definedName>
    <definedName name="MLNKe8e6eb1eacf4410b817fd6b9c7e0b9a7">#REF!</definedName>
    <definedName name="_2__123Graph_DCHART_2">#REF!</definedName>
    <definedName name="MLNKfde81acb496948ab9d122f9c19c6f1ac">#REF!</definedName>
    <definedName name="_Regression_X">#REF!</definedName>
    <definedName name="DZ.LTM">#REF!</definedName>
    <definedName name="RPTWKS4">#REF!</definedName>
    <definedName name="MLNKff06622bbe174a3bb0744a5268e28c7d">#REF!</definedName>
    <definedName name="Z_4C6401EE_68F1_11D2_800E_0060B01A6EB2_.wvu.PrintArea">#REF!</definedName>
    <definedName name="MLNK5527c756d013417c8bdda4193ad90103">#REF!</definedName>
    <definedName name="_bdm.42E4EDC849974A058E9E6C9DEB6BBBD3.edm">#REF!</definedName>
    <definedName name="Z_A06D49D0_FE5D_11D3_94EA_00C04F612D61_.wvu.PrintArea">#REF!</definedName>
    <definedName name="Swvu.BS.">#REF!</definedName>
    <definedName name="MLNKc6deeeaa7a054839ab1e94b652150d77">#REF!</definedName>
    <definedName name="MLNKf3e3898e2a5947699189bd248ee87e8e">#REF!</definedName>
    <definedName name="MLNK6983fe48c7164561b872e467b13814bc">#REF!</definedName>
    <definedName name="MLNKd5d4f14e4051497191f768a89b5359a5">#REF!</definedName>
    <definedName name="hn._I083">#REF!</definedName>
    <definedName name="_8_0_0_F">#REF!</definedName>
    <definedName name="lotusgraphchart1b">#REF!</definedName>
    <definedName name="MLNK7516d2beb71c490f8daaf0ff22284215">#REF!</definedName>
    <definedName name="ACwvu.BS.">#REF!</definedName>
    <definedName name="MLNKc7af3fa99181488ebf83ba4c8829d4b4">#REF!</definedName>
    <definedName name="MLNKde3de1d68b7b4b0897637ca5a58d687c">#REF!</definedName>
    <definedName name="TrancheC_DSCR_Paste">#REF!</definedName>
    <definedName name="Z_38F40303_FE58_11D3_94DE_00C04FA0B046_.wvu.PrintArea">#REF!</definedName>
    <definedName name="MLNKd71b6b2588524f27800f95cb3daa820e">#REF!</definedName>
    <definedName name="MLNK5a113c19bb40422ca56ee5ba6d2cf00b">#REF!</definedName>
    <definedName name="_bdm.9279980CA907437780FC409CE5B012F2.edm">#REF!</definedName>
    <definedName name="DZ.LTMPlus">#REF!</definedName>
    <definedName name="bb">#REF!</definedName>
    <definedName name="_12__123Graph_BCHART_4">#REF!</definedName>
    <definedName name="MLNK60a1a7b2433b4e6e92b73d8613869415">#REF!</definedName>
    <definedName name="cla">#REF!</definedName>
    <definedName name="CompanyName">#REF!</definedName>
    <definedName name="LotusGraphChart1">#REF!</definedName>
    <definedName name="__123Graph_EMFGCOSGR">#REF!</definedName>
    <definedName name="_bdm.599C37CDD48440AA9974A323A3C108E4.edm">#REF!</definedName>
    <definedName name="_bdm.F4C4B8EF0D174CD292A5AF9FA2F0B3A3.edm">#REF!</definedName>
    <definedName name="_123Graph_B">#REF!</definedName>
    <definedName name="Z_E10DD71A_42CC_11D3_8C99_000000000000_.wvu.PrintArea">#REF!</definedName>
    <definedName name="Fiscal_Year1">#REF!</definedName>
    <definedName name="Z_5C712547_8854_11D2_8012_0060B01A6EB2_.wvu.PrintArea">#REF!</definedName>
    <definedName name="MLNKebc4969a4d3246cf8d827be4a034ad76">#REF!</definedName>
    <definedName name="Z_526D3161_71B2_11D3_94D5_00C04F612D61_.wvu.PrintArea">#REF!</definedName>
    <definedName name="Swvu.summary3.">#REF!</definedName>
    <definedName name="DATA_08">#REF!</definedName>
    <definedName name="Z_C4E24F0A_F692_11D3_94DB_00C04FA0B046_.wvu.PrintArea">#REF!</definedName>
    <definedName name="MLNKa19e00281c154ca09573e96ea5611941">#REF!</definedName>
    <definedName name="MLNKb0eeab7a0cce46d7b1f21c7bfc42573a">#REF!</definedName>
    <definedName name="MLNK4acf9f237a9440239a190e0db7066760">#REF!</definedName>
    <definedName name="MLNK8eb22639700448e9b2ee327136f5ab8a">#REF!</definedName>
    <definedName name="MLNKdc72c528c08d44b09374e97bbeae3ea4">#REF!</definedName>
    <definedName name="CySep2">#REF!</definedName>
    <definedName name="__123Graph_XCURRENT">#REF!</definedName>
    <definedName name="DATA_04">#REF!</definedName>
    <definedName name="_bdm.9D9E1C9E794042BAA381D1B63B739949.edm">#REF!</definedName>
    <definedName name="MLNK9e9972d4a7d54a159b4ecb5ade777590">#REF!</definedName>
    <definedName name="__6__123Graph_FCHART_2">#REF!</definedName>
    <definedName name="hn._P017g">#REF!</definedName>
    <definedName name="_bdm.FBA5AF31D90E4C079F008E2DFFE9A3C5.edm">#REF!</definedName>
    <definedName name="Z_70D354D2_2FAA_11D3_8C7E_000000000000_.wvu.PrintArea">#REF!</definedName>
    <definedName name="hn._P024">#REF!</definedName>
    <definedName name="Z_4980F475_BD39_11D3_8C84_000000000000_.wvu.PrintArea">#REF!</definedName>
    <definedName name="MLNKb48275a08b5d48bdaa46d770cfbd9156">#REF!</definedName>
    <definedName name="__123Graph_XMRP13GR">#REF!</definedName>
    <definedName name="DZ.IndSpec_Right">#REF!</definedName>
    <definedName name="_bdm.E91707EB50174807BCB52D2F6C244791.edm">#REF!</definedName>
    <definedName name="ASE">#REF!</definedName>
    <definedName name="Z_336250C7_C772_11D3_94E8_00C04F602AEF_.wvu.PrintArea">#REF!</definedName>
    <definedName name="MLNK1ea49e39054540e3af2cc5ae7ec8bb4f">#REF!</definedName>
    <definedName name="ExRateLTM_Yr3">#REF!</definedName>
    <definedName name="__2__123Graph_DCHART_2">#REF!</definedName>
    <definedName name="MLNK93bc1d719e5043c9b165ec7e94281145">#REF!</definedName>
    <definedName name="MLNK8f278238d0cc4f59aa134c4bf0a54502">#REF!</definedName>
    <definedName name="_bdm.21AB47F9162B42F78D945C6E2C734F53.edm">#REF!</definedName>
    <definedName name="QRYDATA2">#REF!</definedName>
    <definedName name="P5_Actv_Amt1">#REF!</definedName>
    <definedName name="CyJul2">#REF!</definedName>
    <definedName name="ExRateLTM_Yr2">#REF!</definedName>
    <definedName name="_9__123Graph_BCHART_17">#REF!</definedName>
    <definedName name="_26__123Graph_XCHART_19">#REF!</definedName>
    <definedName name="_28__123Graph_XCHART_4">#REF!</definedName>
    <definedName name="Z_14CF0AE7_82DD_11D2_8012_0060B01A6EB2_.wvu.PrintArea">#REF!</definedName>
    <definedName name="Z_88CF5AE2_9425_11D2_801C_0060B01A6EB2_.wvu.PrintArea">#REF!</definedName>
    <definedName name="_bdm.B3132235A08747249FDD5FC42FA2AF2D.edm">#REF!</definedName>
    <definedName name="__123Graph_AMFGCOSGR">#REF!</definedName>
    <definedName name="MLNKda85e4c461c84e6ca5dad3136b64509c">#REF!</definedName>
    <definedName name="_17__123Graph_DCHART_2">#REF!</definedName>
    <definedName name="MLNKbdcde8f832b940c2b1b75a7335139223">#REF!</definedName>
    <definedName name="r.Profitability">#REF!</definedName>
    <definedName name="__13__123Graph_CCHART_15">#REF!</definedName>
    <definedName name="Z_795B2974_B3C0_11D2_801F_0060B01A6EB2_.wvu.PrintArea">#REF!</definedName>
    <definedName name="MLNK57a01dce0844449a8687618afce7fceb">#REF!</definedName>
    <definedName name="__5__123Graph_ACHART_5">#REF!</definedName>
    <definedName name="XRefPaste3Row">#REF!</definedName>
    <definedName name="_123Graph_C">#REF!</definedName>
    <definedName name="MLNK2611be4702794708832652c9a8697c8d">#REF!</definedName>
    <definedName name="MLNKd594a589c97c4911962692a948c8818a">#REF!</definedName>
    <definedName name="Z_AEFAD4A3_D55C_11D2_8027_0060B01A6EB2_.wvu.PrintArea">#REF!</definedName>
    <definedName name="_40__123Graph_BINV__BRASS">#REF!</definedName>
    <definedName name="Z_55752FF6_DAF1_11D2_8029_0060B01A6EB2_.wvu.PrintArea">#REF!</definedName>
    <definedName name="ACwvu.summary3.">#REF!</definedName>
    <definedName name="Z_138E7890_F8DF_11D3_94E9_00C04F612D61_.wvu.PrintArea">#REF!</definedName>
    <definedName name="MLNK1b6d31afa6a846588fb1687ccf6c879e">#REF!</definedName>
    <definedName name="Z_722C8CF0_BC62_11D3_94DF_00C04F612D61_.wvu.PrintArea">#REF!</definedName>
    <definedName name="MLNKca3cb1ad59264303884c131291454298">#REF!</definedName>
    <definedName name="__8__123Graph_XCHART_2">#REF!</definedName>
    <definedName name="RPTWKS16">#REF!</definedName>
    <definedName name="MLNKad919003e47241338be7637d96f1ad7b">#REF!</definedName>
    <definedName name="CheckMacro">#REF!</definedName>
    <definedName name="MLNK44a9eb4eebd34d3bb6a24b955284fc11">#REF!</definedName>
    <definedName name="MLNK53aa75715bed4aa79bdb916c935cab5c">#REF!</definedName>
    <definedName name="Qtr4_Actv_Amt1">#REF!</definedName>
    <definedName name="Z_1ACDB192_F033_11D3_94F1_00C04F602AEF_.wvu.PrintArea">#REF!</definedName>
    <definedName name="_bdm.B43C5D012EED434B88DC73AB0C3FAAFD.edm">#REF!</definedName>
    <definedName name="MLNK831c10ed5dda4d7d9071481175b50ede">#REF!</definedName>
    <definedName name="hn._P004">#REF!</definedName>
    <definedName name="_120__123Graph_DINV__STEEL">#REF!</definedName>
    <definedName name="_21__123Graph_ECHART_1">#REF!</definedName>
    <definedName name="MLNKfda0b6b0453f40f28f659296f4513238">#REF!</definedName>
    <definedName name="MLNKa34d09a4eb2349ab8c0cfbd86fdb1738">#REF!</definedName>
    <definedName name="bbbbb">#REF!</definedName>
    <definedName name="Z_722C92F7_BC62_11D3_94DF_00C04F612D61_.wvu.PrintArea">#REF!</definedName>
    <definedName hidden="1" localSheetId="0" name="_xlnm._FilterDatabase">Sites_Drivers!$B$7:$CS$127</definedName>
    <definedName hidden="1" localSheetId="3" name="_xlnm._FilterDatabase">'Programación preventiva 2026'!$A$3:$AC$186</definedName>
  </definedNames>
  <calcPr/>
  <pivotCaches>
    <pivotCache cacheId="0" r:id="rId12"/>
    <pivotCache cacheId="1" r:id="rId13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tc={192dea31-c916-4ade-9a04-9240ca47fc7a}</author>
    <author>tc={4b61ed5e-9a8e-429b-874a-dad5d6669710}</author>
    <author>tc={e84c61c2-e236-423c-8ef6-986a811f7d78}</author>
  </authors>
  <commentList>
    <comment authorId="0" xr:uid="{192dea31-c916-4ade-9a04-9240ca47fc7a}" ref="BP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 (10-year PPA, inverter replacement not considered)
</t>
      </text>
    </comment>
    <comment authorId="1" xr:uid="{4b61ed5e-9a8e-429b-874a-dad5d6669710}" ref="D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10/25/23
Currently not connected to model. Master switch for PPA extension in tab 'Summary&amp;Control' currently in use.
</t>
      </text>
    </comment>
    <comment authorId="2" xr:uid="{e84c61c2-e236-423c-8ef6-986a811f7d78}" ref="AW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SBLC prima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tc={0ce8860e-5788-4bc2-8a55-c7b3c5a8816f}</author>
    <author>tc={1a69c3ea-1673-40bb-a299-40ecef906d51}</author>
    <author>tc={5441b698-2ee2-430c-9e2a-6df7258b5cdc}</author>
    <author>tc={8bf746d9-fb0c-4d25-93e7-1c31bc09ffab}</author>
    <author>tc={ee30e96e-eb32-43cf-b591-f6cbece432e4}</author>
    <author>tc={eeb9d408-6f00-40e0-8af0-f131ae381cec}</author>
  </authors>
  <commentList>
    <comment authorId="0" xr:uid="{0ce8860e-5788-4bc2-8a55-c7b3c5a8816f}" ref="E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@yessica.estrada@enlight.mx
Asignada a yessica.estrada@enlight.mx
</t>
      </text>
    </comment>
    <comment authorId="1" xr:uid="{1a69c3ea-1673-40bb-a299-40ecef906d51}" ref="J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@rolando.pineda@enlight.mx
</t>
      </text>
    </comment>
    <comment authorId="2" xr:uid="{5441b698-2ee2-430c-9e2a-6df7258b5cdc}" ref="E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Revisar PROJ-740
</t>
      </text>
    </comment>
    <comment authorId="3" xr:uid="{8bf746d9-fb0c-4d25-93e7-1c31bc09ffab}" ref="E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Revisar PROJ 830 del listado
</t>
      </text>
    </comment>
    <comment authorId="4" xr:uid="{ee30e96e-eb32-43cf-b591-f6cbece432e4}" ref="E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Revisar PROJ-941
</t>
      </text>
    </comment>
    <comment authorId="5" xr:uid="{eeb9d408-6f00-40e0-8af0-f131ae381cec}" ref="E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PROJ - 834 - REVISAR
</t>
      </text>
    </comment>
  </commentList>
</comments>
</file>

<file path=xl/sharedStrings.xml><?xml version="1.0" encoding="utf-8"?>
<sst xmlns="http://schemas.openxmlformats.org/spreadsheetml/2006/main" count="2044" uniqueCount="422">
  <si>
    <t>NZF I - Financial model</t>
  </si>
  <si>
    <t>EPC assumptions</t>
  </si>
  <si>
    <t>PPA assumptions and CAPEX</t>
  </si>
  <si>
    <t>x</t>
  </si>
  <si>
    <t>PPA sites database</t>
  </si>
  <si>
    <t>Acutal generation</t>
  </si>
  <si>
    <t>Sensitized generation</t>
  </si>
  <si>
    <t>SUBTOTALS (only "ON" status) &gt;&gt;&gt;</t>
  </si>
  <si>
    <t>Portafolio total</t>
  </si>
  <si>
    <t>Hardcoded values - Energy Generation Year 1</t>
  </si>
  <si>
    <t>Sensitivity</t>
  </si>
  <si>
    <t>Net Zero Export, months of application before COD</t>
  </si>
  <si>
    <t>Inverter replacement</t>
  </si>
  <si>
    <t>¿PPA renewal?</t>
  </si>
  <si>
    <t>Levered IRR</t>
  </si>
  <si>
    <t>Proyectos del nuevo fondo</t>
  </si>
  <si>
    <t>Final active PPA date</t>
  </si>
  <si>
    <t>threshold</t>
  </si>
  <si>
    <t>año 7-8</t>
  </si>
  <si>
    <t>Select</t>
  </si>
  <si>
    <t>MW</t>
  </si>
  <si>
    <t>MWh</t>
  </si>
  <si>
    <t>Hours</t>
  </si>
  <si>
    <t>MWp</t>
  </si>
  <si>
    <t>MWh / MWp</t>
  </si>
  <si>
    <t>kWh</t>
  </si>
  <si>
    <t>%</t>
  </si>
  <si>
    <t>US$</t>
  </si>
  <si>
    <t>US$ / Wp</t>
  </si>
  <si>
    <t>EPC gross margin distribution per stage</t>
  </si>
  <si>
    <t>US$ / MWh</t>
  </si>
  <si>
    <t>US$ / year</t>
  </si>
  <si>
    <t>years</t>
  </si>
  <si>
    <t>US$ / kWp</t>
  </si>
  <si>
    <t>Execution dates</t>
  </si>
  <si>
    <t>CAPEX payment distribution per stage</t>
  </si>
  <si>
    <t>ON / OFF</t>
  </si>
  <si>
    <t>Proejct #</t>
  </si>
  <si>
    <t>¿Renewal?</t>
  </si>
  <si>
    <t>Tranche</t>
  </si>
  <si>
    <t>Fund</t>
  </si>
  <si>
    <t>Biz line</t>
  </si>
  <si>
    <t>Offtaker</t>
  </si>
  <si>
    <t>Portfolio ID</t>
  </si>
  <si>
    <t>Mtto en año</t>
  </si>
  <si>
    <t>Unique portfolio marker</t>
  </si>
  <si>
    <t>Constant (UNIT)</t>
  </si>
  <si>
    <t>Site Name</t>
  </si>
  <si>
    <t>Site ID</t>
  </si>
  <si>
    <t>Identificador ENERTIS</t>
  </si>
  <si>
    <t>Power capacity</t>
  </si>
  <si>
    <t>Energy capacity</t>
  </si>
  <si>
    <t>Duration</t>
  </si>
  <si>
    <t>Installed capacity</t>
  </si>
  <si>
    <t>Yield</t>
  </si>
  <si>
    <t>Expected generation (annual)</t>
  </si>
  <si>
    <t>Generation parity check</t>
  </si>
  <si>
    <t>Expected generation (JAN)</t>
  </si>
  <si>
    <t>Expected generation (FEB)</t>
  </si>
  <si>
    <t>Expected generation (MAR)</t>
  </si>
  <si>
    <t>Expected generation (APR)</t>
  </si>
  <si>
    <t>Expected generation (MAY)</t>
  </si>
  <si>
    <t>Expected generation (JUN)</t>
  </si>
  <si>
    <t>Expected generation (JUL)</t>
  </si>
  <si>
    <t>Expected generation (AUG)</t>
  </si>
  <si>
    <t>Expected generation (SEP)</t>
  </si>
  <si>
    <t>Expected generation (OCT)</t>
  </si>
  <si>
    <t>Expected generation (NOV)</t>
  </si>
  <si>
    <t>Expected generation (DEC)</t>
  </si>
  <si>
    <t>Annual panel degradation</t>
  </si>
  <si>
    <t>Monto EPC (sin IVA)</t>
  </si>
  <si>
    <t>Costo EPC / Wp</t>
  </si>
  <si>
    <t>Installation Type</t>
  </si>
  <si>
    <t>Gross margin on EPC</t>
  </si>
  <si>
    <t>Gross profit on EPC</t>
  </si>
  <si>
    <t>EPC cost</t>
  </si>
  <si>
    <t>Preparation</t>
  </si>
  <si>
    <t>Instalation</t>
  </si>
  <si>
    <t>Deposit</t>
  </si>
  <si>
    <t>BESS arrival</t>
  </si>
  <si>
    <t>Target COD</t>
  </si>
  <si>
    <t>PPA price</t>
  </si>
  <si>
    <t>Annual fee</t>
  </si>
  <si>
    <t>Currency</t>
  </si>
  <si>
    <t>PPA term</t>
  </si>
  <si>
    <t>Type of annual scalator</t>
  </si>
  <si>
    <t>Annual scaler</t>
  </si>
  <si>
    <t>O&amp;M costs (PPA)</t>
  </si>
  <si>
    <t>BESS O&amp;M Year 1</t>
  </si>
  <si>
    <t>Total OPEX Year 1</t>
  </si>
  <si>
    <t>Inverter replacement as % of original CAPEX</t>
  </si>
  <si>
    <t>Inverter replacement CAPEX</t>
  </si>
  <si>
    <t>Conditions Precedent completion date</t>
  </si>
  <si>
    <t>Days to COD</t>
  </si>
  <si>
    <t>COD w/ Net Zero Export</t>
  </si>
  <si>
    <t>Firm COD</t>
  </si>
  <si>
    <t>Contract expiration date</t>
  </si>
  <si>
    <t>Total EPC value</t>
  </si>
  <si>
    <t>Inverter replacement date</t>
  </si>
  <si>
    <t>Asset's useful life</t>
  </si>
  <si>
    <t>Remaining asset's useful life at end of contract</t>
  </si>
  <si>
    <t>PPA rate at term end</t>
  </si>
  <si>
    <t>Discount to latest rate for renewal</t>
  </si>
  <si>
    <t>PPA rate at commencement of PPA extension period</t>
  </si>
  <si>
    <t>Extended expiration date post-PPA term</t>
  </si>
  <si>
    <t>A</t>
  </si>
  <si>
    <t>PPA</t>
  </si>
  <si>
    <t>Waldaschaff Automotive</t>
  </si>
  <si>
    <t>León SFV 2252</t>
  </si>
  <si>
    <t>ok</t>
  </si>
  <si>
    <t>Roof</t>
  </si>
  <si>
    <t>Fixed</t>
  </si>
  <si>
    <t>na</t>
  </si>
  <si>
    <t>Legrand</t>
  </si>
  <si>
    <t>LEGRAND BTICINO Querétaro</t>
  </si>
  <si>
    <t>B</t>
  </si>
  <si>
    <t>Forvia</t>
  </si>
  <si>
    <t>PUEBLA - MEX0420</t>
  </si>
  <si>
    <t>Carport</t>
  </si>
  <si>
    <t>QUERETARO - MEX0425</t>
  </si>
  <si>
    <t>SAN LUIS POTOSI - MEX0430</t>
  </si>
  <si>
    <t>SILAO - MEX0432</t>
  </si>
  <si>
    <t>Ground</t>
  </si>
  <si>
    <t>PUEBLA - MEX0739</t>
  </si>
  <si>
    <t>MX CPI</t>
  </si>
  <si>
    <t>PUEBLA - MEX0821</t>
  </si>
  <si>
    <t>SAN LUIS POTOSI - MEX0967</t>
  </si>
  <si>
    <t>SAN JOSE ITURBIDE - MEX0968</t>
  </si>
  <si>
    <t>SAN LUIS POTOSI - MEX1007</t>
  </si>
  <si>
    <t>MONTERREY - MEX0940</t>
  </si>
  <si>
    <t>MONTERREY - MEX0940 NAVE II</t>
  </si>
  <si>
    <t>MONTERREY - MEX1535</t>
  </si>
  <si>
    <t>C</t>
  </si>
  <si>
    <t>MSA de México</t>
  </si>
  <si>
    <t>MSA</t>
  </si>
  <si>
    <t>Queretaro</t>
  </si>
  <si>
    <t>Thyssenkrupp</t>
  </si>
  <si>
    <t>Thy</t>
  </si>
  <si>
    <t>Dynamics Components</t>
  </si>
  <si>
    <t>D</t>
  </si>
  <si>
    <t>American Specialized Textiles</t>
  </si>
  <si>
    <t>AI</t>
  </si>
  <si>
    <t>Ámbar - vía 66</t>
  </si>
  <si>
    <t>American Textil - vía 68</t>
  </si>
  <si>
    <t>Storage</t>
  </si>
  <si>
    <t>American Textil BEES - vía 68</t>
  </si>
  <si>
    <t>BESS</t>
  </si>
  <si>
    <t>Playa Hoteles</t>
  </si>
  <si>
    <t>PH</t>
  </si>
  <si>
    <t>hotel Hyatt Ziva Cancún</t>
  </si>
  <si>
    <t>Hilton Playa del Carmen</t>
  </si>
  <si>
    <t>Wyndham Alltra Cancun</t>
  </si>
  <si>
    <t>E</t>
  </si>
  <si>
    <t>Hyatt Zilara Cancun</t>
  </si>
  <si>
    <t>Antex</t>
  </si>
  <si>
    <t>Ed</t>
  </si>
  <si>
    <t>Tlaxcala</t>
  </si>
  <si>
    <t>Apodaca</t>
  </si>
  <si>
    <t>Ediplast</t>
  </si>
  <si>
    <t>Ediplast SFV</t>
  </si>
  <si>
    <t>Ediplast BESS</t>
  </si>
  <si>
    <t>F</t>
  </si>
  <si>
    <t>Antex II</t>
  </si>
  <si>
    <t>Antex Tlaxcala 2</t>
  </si>
  <si>
    <t>GG CABLES AND WIRES</t>
  </si>
  <si>
    <t>CX2</t>
  </si>
  <si>
    <t>CX1</t>
  </si>
  <si>
    <t>G</t>
  </si>
  <si>
    <t>Eaton</t>
  </si>
  <si>
    <t>Truck Compenentes</t>
  </si>
  <si>
    <t>Nogales</t>
  </si>
  <si>
    <t>TCP Motus</t>
  </si>
  <si>
    <t>ICD Frontera</t>
  </si>
  <si>
    <t>Curuscant</t>
  </si>
  <si>
    <t>Eaton Bussmann</t>
  </si>
  <si>
    <t>Bussmann</t>
  </si>
  <si>
    <t>Eaton Filtration Reynosa</t>
  </si>
  <si>
    <t>Eaton Industries Reynosa</t>
  </si>
  <si>
    <t>Eaton Iztapalapa</t>
  </si>
  <si>
    <t>Eaton Juarez CPA</t>
  </si>
  <si>
    <t>Market Power Tijuana</t>
  </si>
  <si>
    <t>Market Souriau Tijuana</t>
  </si>
  <si>
    <t>Martek power reynosa</t>
  </si>
  <si>
    <t>Aguascalientes</t>
  </si>
  <si>
    <t>Aerospace Tijuana</t>
  </si>
  <si>
    <t>↑↑↑ Insert rows above red line to add more records</t>
  </si>
  <si>
    <t xml:space="preserve">  </t>
  </si>
  <si>
    <t>CAPEX</t>
  </si>
  <si>
    <t>20% CAPEX</t>
  </si>
  <si>
    <t>END</t>
  </si>
  <si>
    <t xml:space="preserve">Nombre de sitio </t>
  </si>
  <si>
    <t xml:space="preserve">Tipo de Proyecto </t>
  </si>
  <si>
    <t>Capacidad fotovoltaica instalada (MWp)</t>
  </si>
  <si>
    <t>Capacidad BESS instalada (MW)</t>
  </si>
  <si>
    <t>Energía almacenada (MWh)</t>
  </si>
  <si>
    <t>Plazo de PPA (años)</t>
  </si>
  <si>
    <t>Waldaschaff Automotive | León SFV 2252</t>
  </si>
  <si>
    <t>Legrand | LEGRAND BTICINO Querétaro</t>
  </si>
  <si>
    <t>Forvia | PUEBLA - MEX0420</t>
  </si>
  <si>
    <t>Forvia | QUERETARO - MEX0425</t>
  </si>
  <si>
    <t>Forvia | SAN LUIS POTOSI - MEX0430</t>
  </si>
  <si>
    <t>Forvia | SILAO - MEX0432</t>
  </si>
  <si>
    <t>Forvia | PUEBLA - MEX0739</t>
  </si>
  <si>
    <t>Forvia | PUEBLA - MEX0821</t>
  </si>
  <si>
    <t>Forvia | SAN LUIS POTOSI - MEX0967</t>
  </si>
  <si>
    <t>Forvia | SAN JOSE ITURBIDE - MEX0968</t>
  </si>
  <si>
    <t>Forvia | SAN LUIS POTOSI - MEX1007</t>
  </si>
  <si>
    <t>Forvia | MONTERREY - MEX0940</t>
  </si>
  <si>
    <t>Forvia | MONTERREY - MEX0940 NAVE II</t>
  </si>
  <si>
    <t>Forvia | MONTERREY - MEX1535</t>
  </si>
  <si>
    <t>MSA de México | Queretaro</t>
  </si>
  <si>
    <t>Thyssenkrupp | Dynamics Components</t>
  </si>
  <si>
    <t>American Specialized Textiles | Ámbar - vía 66</t>
  </si>
  <si>
    <t>American Specialized Textiles | American Textil - vía 68</t>
  </si>
  <si>
    <t>American Specialized Textiles | American Textil BEES - vía 68</t>
  </si>
  <si>
    <t>Playa Hoteles | hotel Hyatt Ziva Cancún</t>
  </si>
  <si>
    <t>Playa Hoteles | Hilton Playa del Carmen</t>
  </si>
  <si>
    <t>Playa Hoteles | Wyndham Alltra Cancun</t>
  </si>
  <si>
    <t>Playa Hoteles | Hyatt Zilara Cancun</t>
  </si>
  <si>
    <t>Antex | Tlaxcala</t>
  </si>
  <si>
    <t>Legrand | Apodaca</t>
  </si>
  <si>
    <t>Ediplast | Ediplast SFV</t>
  </si>
  <si>
    <t>Ediplast | Ediplast BESS</t>
  </si>
  <si>
    <t>Antex | Antex Tlaxcala 2</t>
  </si>
  <si>
    <t>GG CABLES AND WIRES | CX2</t>
  </si>
  <si>
    <t>GG CABLES AND WIRES | CX1</t>
  </si>
  <si>
    <t>Eaton | Truck Compenentes</t>
  </si>
  <si>
    <t>Eaton | Nogales</t>
  </si>
  <si>
    <t>Eaton | TCP Motus</t>
  </si>
  <si>
    <t>Eaton | ICD Frontera</t>
  </si>
  <si>
    <t>Eaton | Curuscant</t>
  </si>
  <si>
    <t>Eaton | Bussmann</t>
  </si>
  <si>
    <t>Eaton | Eaton Filtration Reynosa</t>
  </si>
  <si>
    <t>Eaton | Eaton Industries Reynosa</t>
  </si>
  <si>
    <t>Eaton | Eaton Iztapalapa</t>
  </si>
  <si>
    <t>Eaton | Eaton Juarez CPA</t>
  </si>
  <si>
    <t>Eaton | Market Power Tijuana</t>
  </si>
  <si>
    <t>Eaton | Market Souriau Tijuana</t>
  </si>
  <si>
    <t>Eaton | Martek power reynosa</t>
  </si>
  <si>
    <t>Eaton | Aguascalientes</t>
  </si>
  <si>
    <t>Eaton | Aerospace Tijuana</t>
  </si>
  <si>
    <t>Chanaust</t>
  </si>
  <si>
    <t>MD Electronik</t>
  </si>
  <si>
    <t>Sitio 1</t>
  </si>
  <si>
    <t>Sitio 2</t>
  </si>
  <si>
    <t>Sitio 3</t>
  </si>
  <si>
    <t>Sitio 4</t>
  </si>
  <si>
    <t>Sitio 5</t>
  </si>
  <si>
    <t>Sitio</t>
  </si>
  <si>
    <t>Cuenta</t>
  </si>
  <si>
    <t>Potencia kWp/ Capacidad kWh</t>
  </si>
  <si>
    <t>Auto Todo - Puebla - FV</t>
  </si>
  <si>
    <t>Auto Todo</t>
  </si>
  <si>
    <t>Banco de Alimentos - FV</t>
  </si>
  <si>
    <t>Banco de Alimentos</t>
  </si>
  <si>
    <t>Liverpool - Chilpancingo - FV</t>
  </si>
  <si>
    <t>Liverpool</t>
  </si>
  <si>
    <t>Liverpool - Colima - FV</t>
  </si>
  <si>
    <t>Liverpool - Guadalajara Galerías - FV</t>
  </si>
  <si>
    <t>Liverpool - La Paz - FV</t>
  </si>
  <si>
    <t>Liverpool - La Perla - FV</t>
  </si>
  <si>
    <t>Liverpool - Mérida Cabo Norte - FV</t>
  </si>
  <si>
    <t>Liverpool - Playa del Carmen - FV + AMP</t>
  </si>
  <si>
    <t>Liverpool - Salamanca - FV</t>
  </si>
  <si>
    <t>Liverpool - San Miguel de Allende - FV</t>
  </si>
  <si>
    <t>Liverpool - Veracruz El Dorado - FV</t>
  </si>
  <si>
    <t>Liverpool - Zamora - FV</t>
  </si>
  <si>
    <t>Liverpool - CAT Morelia - FV</t>
  </si>
  <si>
    <t>Frialsa - CAC - Aguascalientes - FV</t>
  </si>
  <si>
    <t>Frialsa</t>
  </si>
  <si>
    <t>Frialsa - CAC - Cuautitlán - FV</t>
  </si>
  <si>
    <t>Frialsa - CAC - Guadalajara I - FV + Ampliación</t>
  </si>
  <si>
    <t>Frialsa - CAC - Zamora - FV</t>
  </si>
  <si>
    <t>Frialsa - CAC Querétaro - FV</t>
  </si>
  <si>
    <t>Frialsa - Cancún - FV</t>
  </si>
  <si>
    <t>Frialsa - CD Obregón - FV</t>
  </si>
  <si>
    <t>Frialsa - Guadalajara II - FV</t>
  </si>
  <si>
    <t>Frialsa - Irapuato - FV</t>
  </si>
  <si>
    <t>Frialsa - Laguna - FV</t>
  </si>
  <si>
    <t>Frialsa - Monterrey I Santa Rosa - FV + AMP</t>
  </si>
  <si>
    <t>Frialsa - Monterrey II San Nicolás - FV</t>
  </si>
  <si>
    <t>Frialsa - Ocoyoacac - FV + AMP</t>
  </si>
  <si>
    <t>Frialsa - San Martín Obispo - FV</t>
  </si>
  <si>
    <t>Frialsa - Tepeji - FV + AMP</t>
  </si>
  <si>
    <t>Frialsa - Tijuana - FV +AMP</t>
  </si>
  <si>
    <t>Frialsa - Tlalnepantla - FV</t>
  </si>
  <si>
    <t>Frialsa - Tula Atitalaquia - FV</t>
  </si>
  <si>
    <t>Frialsa - Villagrán I - FV</t>
  </si>
  <si>
    <t>Frialsa - Villagrán II - FV</t>
  </si>
  <si>
    <t>Frialsa - Zamora II - FV + AMP</t>
  </si>
  <si>
    <t>Mondelez - Puebla - FV</t>
  </si>
  <si>
    <t>Mondelez</t>
  </si>
  <si>
    <t>Mondelez - Ricolino - Toluca - FV</t>
  </si>
  <si>
    <t>Faurecia - Puebla - FV</t>
  </si>
  <si>
    <t>Faurecia</t>
  </si>
  <si>
    <t>ZF Group - ZF Monterrey R&amp;D (Eurofren) - FV</t>
  </si>
  <si>
    <t>ZF Group</t>
  </si>
  <si>
    <t>Bio Pappel - Chihuahua - FV</t>
  </si>
  <si>
    <t>Bio Pappel</t>
  </si>
  <si>
    <t>Liverpool - Fresnillo - FV</t>
  </si>
  <si>
    <t>Liverpool - Tepeyac - FV</t>
  </si>
  <si>
    <t>Liverpool - Mérida -STO</t>
  </si>
  <si>
    <t>Liverpool - Cd Victoria - FV</t>
  </si>
  <si>
    <t>Liverpool - Puebla Angelópolis - STO</t>
  </si>
  <si>
    <t>Liverpool - Tlaxcala - FV</t>
  </si>
  <si>
    <t>Liverpool - Atlixco - FV</t>
  </si>
  <si>
    <t>Liverpool - Toluca - FV</t>
  </si>
  <si>
    <t>Liverpool - Tampico Altama - FV</t>
  </si>
  <si>
    <t>Boehringer - Xochimilco - FV</t>
  </si>
  <si>
    <t>Boehringer</t>
  </si>
  <si>
    <t>Boehringer - Ingelheim México - STO</t>
  </si>
  <si>
    <t>Liverpool - Xalapa Crystal - FV</t>
  </si>
  <si>
    <t>Liverpool - Galerías Hermosillo - FV</t>
  </si>
  <si>
    <t>Liverpool - Insurgentes - FV</t>
  </si>
  <si>
    <t>Liverpool - Tlalnepantla - FV</t>
  </si>
  <si>
    <t>Grupo Diestra - Marriot Aguascalientes - STO</t>
  </si>
  <si>
    <t>Grupo Diestra</t>
  </si>
  <si>
    <t>Grupo Diestra - Marriot Tuxtla - STO</t>
  </si>
  <si>
    <t>Grupo Diestra - Marriot Villahermosa - STO</t>
  </si>
  <si>
    <t>Grupo Diestra - Emporio Veracruz - STO</t>
  </si>
  <si>
    <t>Grupo Diestra - Marriot Santa Fe - STO</t>
  </si>
  <si>
    <t>Grupo Diestra - Emporio Ixtapa - STO</t>
  </si>
  <si>
    <t>Grupo Diestra - Emporio Acapulco - STO</t>
  </si>
  <si>
    <t>Grupo Diestra - Emporio Cancún - STO</t>
  </si>
  <si>
    <t>Grupo Diestra - Renaissance Cancún - STO</t>
  </si>
  <si>
    <t>Grupo Diestra - Marriot Aguascalientes - FV</t>
  </si>
  <si>
    <t>Grupo Diestra - Marriot Tuxtla - FV</t>
  </si>
  <si>
    <t>Grupo Diestra - Marriot Villahermosa - FV</t>
  </si>
  <si>
    <t>Grupo Diestra - Emporio Veracruz - FV</t>
  </si>
  <si>
    <t>Grupo Diestra - Marriot Santa Fe - FV</t>
  </si>
  <si>
    <t>Grupo Diestra - Emporio Ixtapa - FV</t>
  </si>
  <si>
    <t>Grupo Diestra - Emporio Acapulco - FV</t>
  </si>
  <si>
    <t>Grupo Diestra - Emporio Cancún - FV</t>
  </si>
  <si>
    <t>Grupo Diestra - Renaissance Cancún - FV</t>
  </si>
  <si>
    <t>Grupo Diestra - Marriott Cabos - FV</t>
  </si>
  <si>
    <t>Sabormex - Puebla - FV</t>
  </si>
  <si>
    <t>Sabormex</t>
  </si>
  <si>
    <t>Trimestre 1</t>
  </si>
  <si>
    <t>#</t>
  </si>
  <si>
    <t>Cliente</t>
  </si>
  <si>
    <t>PROJ Instalaciones</t>
  </si>
  <si>
    <t>PROJ
O&amp;M</t>
  </si>
  <si>
    <t>Capacidad fotovoltaica instalada (kWp)</t>
  </si>
  <si>
    <t>Capacidad BESS instalada (kW)</t>
  </si>
  <si>
    <t>Zona</t>
  </si>
  <si>
    <t>Supervisor</t>
  </si>
  <si>
    <t xml:space="preserve">Fecha de puesta en marcha </t>
  </si>
  <si>
    <t>Estatus de proyecto</t>
  </si>
  <si>
    <t>Estatus de pase de cuenta</t>
  </si>
  <si>
    <t xml:space="preserve">Estatus de la poliza </t>
  </si>
  <si>
    <t>Costo de proveedor por kWh</t>
  </si>
  <si>
    <t>Fecha de pase de cuenta</t>
  </si>
  <si>
    <t>Tiempo de pase de cuenta</t>
  </si>
  <si>
    <t>Inicio de poliza</t>
  </si>
  <si>
    <t xml:space="preserve">Fin de Poliza </t>
  </si>
  <si>
    <t>Duración de la poliza en años</t>
  </si>
  <si>
    <t>Mes programado del servicio</t>
  </si>
  <si>
    <t>Fecha de programación de ejecición</t>
  </si>
  <si>
    <t xml:space="preserve">Fecha real de inicio de ejecución </t>
  </si>
  <si>
    <t xml:space="preserve">Fecha real de fin de ejecución </t>
  </si>
  <si>
    <t xml:space="preserve">Duración del Mantenimiento </t>
  </si>
  <si>
    <t>Fecha de entrega de reporte</t>
  </si>
  <si>
    <t>Tiempo de entrega de reporte</t>
  </si>
  <si>
    <t>Comentarios Q1 2026</t>
  </si>
  <si>
    <t>Se ejecuto en el mes programado</t>
  </si>
  <si>
    <t>Se ejecuto en la fecha programada</t>
  </si>
  <si>
    <t>NZF</t>
  </si>
  <si>
    <t>Occidente</t>
  </si>
  <si>
    <t>Santiago Medina</t>
  </si>
  <si>
    <t>Encendido</t>
  </si>
  <si>
    <t>Con pase de cuenta</t>
  </si>
  <si>
    <t>Si</t>
  </si>
  <si>
    <t>Centro</t>
  </si>
  <si>
    <t>Sebastián Castillo</t>
  </si>
  <si>
    <t xml:space="preserve"> </t>
  </si>
  <si>
    <t>Gustavo Chavez</t>
  </si>
  <si>
    <t>18-2-0202</t>
  </si>
  <si>
    <t>Adecuaciones de NC</t>
  </si>
  <si>
    <t>Norte</t>
  </si>
  <si>
    <t>Melissa Solorio</t>
  </si>
  <si>
    <t>Sin inspección de calidad</t>
  </si>
  <si>
    <t>Ángel Corona</t>
  </si>
  <si>
    <t>Sin encendido</t>
  </si>
  <si>
    <t>En construcción</t>
  </si>
  <si>
    <t>Sin pase de cuenta</t>
  </si>
  <si>
    <t>Sur</t>
  </si>
  <si>
    <t>Uriel Tamayo</t>
  </si>
  <si>
    <t>Erick Fermin</t>
  </si>
  <si>
    <t>Adolfo Jaspersen</t>
  </si>
  <si>
    <t>30/11/2023</t>
  </si>
  <si>
    <t>26/09/2023</t>
  </si>
  <si>
    <t>19/05/2023</t>
  </si>
  <si>
    <t>25/09/2024</t>
  </si>
  <si>
    <t>28/11/2023</t>
  </si>
  <si>
    <t>23/05/2023</t>
  </si>
  <si>
    <t>28/03/2024</t>
  </si>
  <si>
    <t>21/02/2024</t>
  </si>
  <si>
    <t>19/10/2020</t>
  </si>
  <si>
    <t>30/05/2023</t>
  </si>
  <si>
    <t>22/08/2020</t>
  </si>
  <si>
    <t>18/04/2021</t>
  </si>
  <si>
    <t>30/04/2021</t>
  </si>
  <si>
    <t>21/08/2020</t>
  </si>
  <si>
    <t>20/09/2020</t>
  </si>
  <si>
    <t>15/08/2020</t>
  </si>
  <si>
    <t>16/02/2021</t>
  </si>
  <si>
    <t>18/08/2025</t>
  </si>
  <si>
    <t>21/01/2026</t>
  </si>
  <si>
    <t>15/10/2025</t>
  </si>
  <si>
    <t>17/02/2026</t>
  </si>
  <si>
    <t>26/01/2026</t>
  </si>
  <si>
    <t>25/01/2026</t>
  </si>
  <si>
    <t>19/12/2025</t>
  </si>
  <si>
    <t>13/02/2026</t>
  </si>
  <si>
    <t>29/08/2025</t>
  </si>
  <si>
    <t>Liverpool - Torreón - FV</t>
  </si>
  <si>
    <t>Sitios por supervisor</t>
  </si>
  <si>
    <t>Servicios programados Q1</t>
  </si>
  <si>
    <t>Suma total</t>
  </si>
  <si>
    <t>Suma de Capacidad fotovoltaica instalada (kWp)</t>
  </si>
  <si>
    <t>Suma de Capacidad BESS instalada (kW)</t>
  </si>
  <si>
    <t xml:space="preserve">Capacidad por supervisor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</si>
</sst>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6">
    <numFmt numFmtId="164" formatCode="&quot;PROJ&quot;-0"/>
    <numFmt numFmtId="165" formatCode="d-m-yyyy"/>
    <numFmt numFmtId="166" formatCode="d/mmm/yy"/>
    <numFmt numFmtId="167" formatCode="mmmm yyyy"/>
    <numFmt numFmtId="168" formatCode="dd/mm/yyyy"/>
    <numFmt numFmtId="169" formatCode="#,##0_);\(#,##0\);\-\-_);@_)"/>
    <numFmt numFmtId="170" formatCode="#,##0.00%_);\(#,##0.00%\);\-\-\%_);@_)"/>
    <numFmt numFmtId="171" formatCode="dd\-mmm\-yy_);;\-\-_);@_)"/>
    <numFmt numFmtId="172" formatCode="_(* #,##0_);_(* \(#,##0\);_(* &quot;-&quot;??_);_(@_)"/>
    <numFmt numFmtId="173" formatCode="#,##0.00_);\(#,##0.00\);\-\-_);@_)"/>
    <numFmt numFmtId="174" formatCode="#,##0.000_);\(#,##0.000\);\-\-_);@_)"/>
    <numFmt numFmtId="175" formatCode="#,##0.0%_);\(#,##0.0%\);\-\-\%_);@_)"/>
    <numFmt numFmtId="176" formatCode="&quot;$&quot;#,##0.00"/>
    <numFmt numFmtId="177" formatCode="#,##0\ &quot;months&quot;_);\(#,##0\);\-\-_);@_)"/>
    <numFmt numFmtId="178" formatCode="&quot;Year&quot;\ #,##0_);\(#,##0\);\-\-_);@_)"/>
    <numFmt numFmtId="179" formatCode="&quot;Yes&quot;_);&quot;ERROR&quot;;&quot;No&quot;_);&quot;ERROR&quot;"/>
    <numFmt numFmtId="180" formatCode="&quot;On&quot;;&quot;ERROR&quot;;&quot;Off&quot;;&quot;ERROR&quot;"/>
    <numFmt numFmtId="181" formatCode="#,##0.0_);\(#,##0.0\);\-\-_);@_)"/>
    <numFmt numFmtId="182" formatCode="&quot;$&quot;\ #,##0.00_);&quot;$&quot;\ \(#,##0.00\);\-\-_);@_)"/>
    <numFmt numFmtId="183" formatCode="&quot;$&quot;\ #,##0_);&quot;$&quot;\ \(#,##0\);\-\-_);@_)"/>
    <numFmt numFmtId="184" formatCode="#,##0\ &quot;years&quot;_);\(#,##0\);\-\-_);@_)"/>
    <numFmt numFmtId="185" formatCode="#,##0\ &quot;days&quot;_);\(#,##0\);\-\-_);@_)"/>
    <numFmt numFmtId="186" formatCode="&quot;$&quot;#,##0.00_);\(&quot;$&quot;#,##0.00\)"/>
    <numFmt numFmtId="187" formatCode="#,##0\ &quot;hrs&quot;_);\(#,##0\);\-\-_);@_)"/>
    <numFmt numFmtId="188" formatCode="&quot;Placeholder&quot;\ 0"/>
    <numFmt numFmtId="189" formatCode="D/M/YYYY"/>
    <numFmt numFmtId="190" formatCode="_(* #,##0.00_);_(* \(#,##0.00\);_(* &quot;-&quot;??_);_(@_)"/>
    <numFmt numFmtId="191" formatCode="d/m/yyyy"/>
    <numFmt numFmtId="192" formatCode="mm/dd/yyyy"/>
    <numFmt numFmtId="193" formatCode="dd/mmm/yy"/>
    <numFmt numFmtId="194" formatCode="d/mmm/yyyy"/>
    <numFmt numFmtId="195" formatCode="d/mmmm/yy"/>
    <numFmt numFmtId="196" formatCode="m/d/yyyy"/>
    <numFmt numFmtId="197" formatCode="&quot;$&quot;#,##0"/>
    <numFmt numFmtId="198" formatCode="dd-mm-yyyy"/>
    <numFmt numFmtId="199" formatCode="_-&quot;$&quot;* #,##0.00_-;\-&quot;$&quot;* #,##0.00_-;_-&quot;$&quot;* &quot;-&quot;??_-;_-@"/>
  </numFmts>
  <fonts count="51">
    <font>
      <sz val="10.0"/>
      <color theme="1"/>
      <name val="Calibri"/>
      <scheme val="minor"/>
    </font>
    <font>
      <b/>
      <sz val="16.0"/>
      <color rgb="FF0E1D34"/>
      <name val="Aptos Narrow"/>
    </font>
    <font>
      <b/>
      <sz val="10.0"/>
      <color theme="1"/>
      <name val="Calibri"/>
    </font>
    <font>
      <b/>
      <i/>
      <sz val="12.0"/>
      <color rgb="FF428DFF"/>
      <name val="Calibri"/>
    </font>
    <font/>
    <font>
      <b/>
      <i/>
      <sz val="12.0"/>
      <color rgb="FFFFFFFF"/>
      <name val="Calibri"/>
    </font>
    <font>
      <sz val="10.0"/>
      <color rgb="FFBFBFBF"/>
      <name val="Calibri"/>
    </font>
    <font>
      <b/>
      <sz val="13.0"/>
      <color rgb="FF7F7F7F"/>
      <name val="Aptos Narrow"/>
    </font>
    <font>
      <sz val="10.0"/>
      <color theme="1"/>
      <name val="Aptos Narrow"/>
    </font>
    <font>
      <b/>
      <i/>
      <sz val="10.0"/>
      <color rgb="FF0000FF"/>
      <name val="Calibri"/>
    </font>
    <font>
      <sz val="10.0"/>
      <color theme="1"/>
      <name val="Calibri"/>
    </font>
    <font>
      <sz val="10.0"/>
      <color rgb="FF0000FF"/>
      <name val="Calibri"/>
    </font>
    <font>
      <sz val="10.0"/>
      <color rgb="FF008000"/>
      <name val="Calibri"/>
    </font>
    <font>
      <color theme="1"/>
      <name val="Calibri"/>
      <scheme val="minor"/>
    </font>
    <font>
      <b/>
      <sz val="10.0"/>
      <color theme="0"/>
      <name val="Calibri"/>
    </font>
    <font>
      <sz val="10.0"/>
      <color rgb="FF000000"/>
      <name val="Calibri"/>
    </font>
    <font>
      <sz val="10.0"/>
      <color rgb="FF008000"/>
      <name val="Aptos Narrow"/>
    </font>
    <font>
      <b/>
      <sz val="10.0"/>
      <color rgb="FF0000FF"/>
      <name val="Calibri"/>
    </font>
    <font>
      <b/>
      <sz val="10.0"/>
      <color theme="0"/>
      <name val="Aptos Narrow"/>
    </font>
    <font>
      <b/>
      <sz val="10.0"/>
      <color rgb="FF008000"/>
      <name val="Calibri"/>
    </font>
    <font>
      <sz val="10.0"/>
      <color rgb="FF0000FF"/>
      <name val="Aptos Narrow"/>
    </font>
    <font>
      <b/>
      <i/>
      <sz val="10.0"/>
      <color rgb="FFFF0000"/>
      <name val="Calibri"/>
    </font>
    <font>
      <i/>
      <sz val="10.0"/>
      <color rgb="FF0000FF"/>
      <name val="Calibri"/>
    </font>
    <font>
      <b/>
      <sz val="10.0"/>
      <color rgb="FFFF0000"/>
      <name val="Calibri"/>
    </font>
    <font>
      <b/>
      <i/>
      <u/>
      <sz val="10.0"/>
      <color theme="1"/>
      <name val="Calibri"/>
    </font>
    <font>
      <sz val="10.0"/>
      <color theme="1"/>
      <name val="Arial"/>
    </font>
    <font>
      <b/>
      <sz val="10.0"/>
      <color theme="1"/>
      <name val="Roboto"/>
    </font>
    <font>
      <sz val="10.0"/>
      <color rgb="FF434343"/>
      <name val="Arial"/>
    </font>
    <font>
      <sz val="10.0"/>
      <color rgb="FF434343"/>
      <name val="Roboto"/>
    </font>
    <font>
      <b/>
      <u/>
      <sz val="10.0"/>
      <color theme="1"/>
      <name val="Calibri"/>
    </font>
    <font>
      <b/>
      <u/>
      <sz val="10.0"/>
      <color theme="1"/>
      <name val="Calibri"/>
    </font>
    <font>
      <u/>
      <sz val="10.0"/>
      <color theme="1"/>
      <name val="Calibri"/>
    </font>
    <font>
      <u/>
      <sz val="10.0"/>
      <color theme="1"/>
      <name val="Calibri"/>
    </font>
    <font>
      <u/>
      <sz val="10.0"/>
      <color theme="1"/>
      <name val="Calibri"/>
    </font>
    <font>
      <u/>
      <sz val="10.0"/>
      <color theme="1"/>
      <name val="Calibri"/>
    </font>
    <font>
      <color theme="1"/>
      <name val="Arial"/>
    </font>
    <font>
      <u/>
      <sz val="10.0"/>
      <color theme="1"/>
      <name val="Calibri"/>
    </font>
    <font>
      <u/>
      <sz val="10.0"/>
      <color theme="1"/>
      <name val="Calibri"/>
    </font>
    <font>
      <u/>
      <sz val="10.0"/>
      <color theme="1"/>
      <name val="Calibri"/>
    </font>
    <font>
      <u/>
      <sz val="10.0"/>
      <color theme="1"/>
      <name val="Calibri"/>
    </font>
    <font>
      <u/>
      <sz val="10.0"/>
      <color rgb="FF434343"/>
      <name val="Arial"/>
    </font>
    <font>
      <u/>
      <sz val="10.0"/>
      <color theme="1"/>
      <name val="Calibri"/>
    </font>
    <font>
      <u/>
      <color theme="1"/>
      <name val="Calibri"/>
      <scheme val="minor"/>
    </font>
    <font>
      <u/>
      <sz val="10.0"/>
      <color theme="1"/>
      <name val="Calibri"/>
    </font>
    <font>
      <u/>
      <sz val="10.0"/>
      <color theme="1"/>
      <name val="Calibri"/>
    </font>
    <font>
      <u/>
      <sz val="10.0"/>
      <color theme="1"/>
      <name val="Calibri"/>
    </font>
    <font>
      <u/>
      <sz val="10.0"/>
      <color rgb="FF434343"/>
      <name val="Roboto"/>
    </font>
    <font>
      <u/>
      <sz val="10.0"/>
      <color theme="1"/>
      <name val="Calibri"/>
    </font>
    <font>
      <u/>
      <sz val="10.0"/>
      <color rgb="FF434343"/>
      <name val="Roboto"/>
    </font>
    <font>
      <u/>
      <sz val="10.0"/>
      <color theme="1"/>
      <name val="Calibri"/>
    </font>
    <font>
      <u/>
      <sz val="10.0"/>
      <color theme="1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E7F0FD"/>
        <bgColor rgb="FFE7F0FD"/>
      </patternFill>
    </fill>
    <fill>
      <patternFill patternType="solid">
        <fgColor rgb="FF428DFF"/>
        <bgColor rgb="FF428DFF"/>
      </patternFill>
    </fill>
    <fill>
      <patternFill patternType="solid">
        <fgColor rgb="FF0E1D34"/>
        <bgColor rgb="FF0E1D34"/>
      </patternFill>
    </fill>
    <fill>
      <patternFill patternType="solid">
        <fgColor rgb="FFEDEDED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788E98"/>
        <bgColor rgb="FF788E98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00AD88"/>
        <bgColor rgb="FF00AD88"/>
      </patternFill>
    </fill>
    <fill>
      <patternFill patternType="solid">
        <fgColor rgb="FFD8D8D8"/>
        <bgColor rgb="FFD8D8D8"/>
      </patternFill>
    </fill>
    <fill>
      <patternFill patternType="solid">
        <fgColor rgb="FFFFFFCC"/>
        <bgColor rgb="FFFFFFCC"/>
      </patternFill>
    </fill>
    <fill>
      <patternFill patternType="solid">
        <fgColor rgb="FFD9F2D0"/>
        <bgColor rgb="FFD9F2D0"/>
      </patternFill>
    </fill>
    <fill>
      <patternFill patternType="solid">
        <fgColor theme="0"/>
        <bgColor theme="0"/>
      </patternFill>
    </fill>
    <fill>
      <patternFill patternType="solid">
        <fgColor rgb="FFC1F0C8"/>
        <bgColor rgb="FFC1F0C8"/>
      </patternFill>
    </fill>
    <fill>
      <patternFill patternType="solid">
        <fgColor rgb="FFCAEDFB"/>
        <bgColor rgb="FFCAEDFB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theme="9"/>
      </patternFill>
    </fill>
    <fill>
      <patternFill patternType="solid">
        <fgColor rgb="FFE69138"/>
        <bgColor rgb="FFE69138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</fills>
  <borders count="50">
    <border/>
    <border>
      <left style="thick">
        <color rgb="FF428DFF"/>
      </left>
      <top/>
      <bottom/>
    </border>
    <border>
      <top/>
      <bottom/>
    </border>
    <border>
      <right style="thick">
        <color rgb="FF428DFF"/>
      </right>
      <top/>
      <bottom/>
    </border>
    <border>
      <left/>
      <top/>
      <bottom/>
    </border>
    <border>
      <right/>
      <top/>
      <bottom/>
    </border>
    <border>
      <left style="thin">
        <color rgb="FF0000FF"/>
      </left>
      <top style="thin">
        <color rgb="FF0000FF"/>
      </top>
    </border>
    <border>
      <top style="thin">
        <color rgb="FF0000FF"/>
      </top>
    </border>
    <border>
      <right style="thin">
        <color rgb="FF0000FF"/>
      </right>
      <top style="thin">
        <color rgb="FF0000FF"/>
      </top>
    </border>
    <border>
      <left style="thick">
        <color rgb="FF428DFF"/>
      </left>
    </border>
    <border>
      <right style="thick">
        <color rgb="FF428DFF"/>
      </right>
    </border>
    <border>
      <left style="dotted">
        <color rgb="FFBFBFBF"/>
      </left>
      <right style="dotted">
        <color rgb="FFBFBFBF"/>
      </right>
      <top style="dotted">
        <color rgb="FFBFBFBF"/>
      </top>
      <bottom style="dotted">
        <color rgb="FFBFBFBF"/>
      </bottom>
    </border>
    <border>
      <left/>
      <right/>
      <top/>
      <bottom/>
    </border>
    <border>
      <left style="thin">
        <color rgb="FF0000FF"/>
      </left>
    </border>
    <border>
      <right style="thin">
        <color rgb="FF0000FF"/>
      </right>
    </border>
    <border>
      <left style="dotted">
        <color rgb="FF428DFF"/>
      </left>
      <right/>
      <top style="dotted">
        <color rgb="FF428DFF"/>
      </top>
      <bottom style="dotted">
        <color rgb="FF428DFF"/>
      </bottom>
    </border>
    <border>
      <left/>
      <right/>
      <top style="dotted">
        <color rgb="FF428DFF"/>
      </top>
      <bottom style="dotted">
        <color rgb="FF428DFF"/>
      </bottom>
    </border>
    <border>
      <left/>
      <right style="dotted">
        <color rgb="FF428DFF"/>
      </right>
      <top style="dotted">
        <color rgb="FF428DFF"/>
      </top>
      <bottom style="dotted">
        <color rgb="FF428DFF"/>
      </bottom>
    </border>
    <border>
      <bottom style="thin">
        <color rgb="FF757171"/>
      </bottom>
    </border>
    <border>
      <left style="thin">
        <color rgb="FF0000FF"/>
      </left>
      <right/>
      <top/>
      <bottom style="thin">
        <color rgb="FF0000FF"/>
      </bottom>
    </border>
    <border>
      <left/>
      <right/>
      <top/>
      <bottom style="thin">
        <color rgb="FF0000FF"/>
      </bottom>
    </border>
    <border>
      <left/>
      <right style="thin">
        <color rgb="FF0000FF"/>
      </right>
      <top/>
      <bottom style="thin">
        <color rgb="FF0000FF"/>
      </bottom>
    </border>
    <border>
      <left style="thick">
        <color rgb="FF428DFF"/>
      </left>
      <right/>
      <top/>
      <bottom/>
    </border>
    <border>
      <left style="thin">
        <color rgb="FF757171"/>
      </left>
      <top/>
      <bottom/>
    </border>
    <border>
      <left style="thin">
        <color rgb="FF0000FF"/>
      </left>
      <right/>
      <top style="thin">
        <color rgb="FF0000FF"/>
      </top>
      <bottom/>
    </border>
    <border>
      <left/>
      <right/>
      <top style="thin">
        <color rgb="FF0000FF"/>
      </top>
      <bottom/>
    </border>
    <border>
      <left/>
      <right style="thin">
        <color rgb="FF0000FF"/>
      </right>
      <top style="thin">
        <color rgb="FF0000FF"/>
      </top>
      <bottom/>
    </border>
    <border>
      <left style="thin">
        <color rgb="FF757171"/>
      </left>
      <right/>
      <top/>
      <bottom/>
    </border>
    <border>
      <left/>
      <right style="thick">
        <color rgb="FF428DFF"/>
      </right>
      <top/>
      <bottom/>
    </border>
    <border>
      <left/>
      <right/>
      <top/>
      <bottom style="dotted">
        <color rgb="FFBFBFBF"/>
      </bottom>
    </border>
    <border>
      <left style="dotted">
        <color rgb="FF428DFF"/>
      </left>
      <right style="dotted">
        <color rgb="FF428DFF"/>
      </right>
      <top style="dotted">
        <color rgb="FF428DFF"/>
      </top>
      <bottom/>
    </border>
    <border>
      <left style="dotted">
        <color rgb="FFBFBFBF"/>
      </left>
      <top style="dotted">
        <color rgb="FFBFBFBF"/>
      </top>
      <bottom style="dotted">
        <color rgb="FFBFBFBF"/>
      </bottom>
    </border>
    <border>
      <left style="dotted">
        <color rgb="FFBFBFBF"/>
      </left>
      <right/>
      <top style="dotted">
        <color rgb="FFBFBFBF"/>
      </top>
      <bottom/>
    </border>
    <border>
      <left style="thin">
        <color rgb="FF0000FF"/>
      </left>
      <top style="dotted">
        <color rgb="FFBFBFBF"/>
      </top>
      <bottom style="dotted">
        <color rgb="FFBFBFBF"/>
      </bottom>
    </border>
    <border>
      <top style="dotted">
        <color rgb="FFBFBFBF"/>
      </top>
      <bottom style="dotted">
        <color rgb="FFBFBFBF"/>
      </bottom>
    </border>
    <border>
      <right style="thin">
        <color rgb="FF0000FF"/>
      </right>
      <top style="dotted">
        <color rgb="FFBFBFBF"/>
      </top>
      <bottom style="dotted">
        <color rgb="FFBFBFBF"/>
      </bottom>
    </border>
    <border>
      <right style="dotted">
        <color rgb="FFBFBFBF"/>
      </right>
      <top style="dotted">
        <color rgb="FFBFBFBF"/>
      </top>
      <bottom style="dotted">
        <color rgb="FFBFBFBF"/>
      </bottom>
    </border>
    <border>
      <left/>
      <right style="dotted">
        <color rgb="FFBFBFBF"/>
      </right>
      <top style="dotted">
        <color rgb="FFBFBFBF"/>
      </top>
      <bottom style="dotted">
        <color rgb="FFBFBFBF"/>
      </bottom>
    </border>
    <border>
      <left style="dotted">
        <color rgb="FF428DFF"/>
      </left>
      <right style="dotted">
        <color rgb="FF428DFF"/>
      </right>
      <top/>
      <bottom/>
    </border>
    <border>
      <left style="dotted">
        <color rgb="FFBFBFBF"/>
      </left>
      <right style="dotted">
        <color rgb="FFBFBFBF"/>
      </right>
      <top style="dotted">
        <color rgb="FFBFBFBF"/>
      </top>
      <bottom/>
    </border>
    <border>
      <left style="dotted">
        <color rgb="FFBFBFBF"/>
      </left>
      <right style="dotted">
        <color rgb="FFBFBFBF"/>
      </right>
      <top style="dotted">
        <color rgb="FFBFBFBF"/>
      </top>
    </border>
    <border>
      <right style="dotted">
        <color rgb="FFBFBFBF"/>
      </right>
      <top style="dotted">
        <color rgb="FFBFBFBF"/>
      </top>
    </border>
    <border>
      <left/>
      <right style="dotted">
        <color rgb="FFBFBFBF"/>
      </right>
      <top style="dotted">
        <color rgb="FFBFBFBF"/>
      </top>
      <bottom/>
    </border>
    <border>
      <left style="dotted">
        <color rgb="FFBFBFBF"/>
      </left>
      <right style="dotted">
        <color rgb="FFBFBFBF"/>
      </right>
      <bottom style="dotted">
        <color rgb="FFBFBFBF"/>
      </bottom>
    </border>
    <border>
      <top style="thin">
        <color rgb="FFFF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9" xfId="0" applyAlignment="1" applyFont="1" applyNumberFormat="1">
      <alignment horizontal="center"/>
    </xf>
    <xf borderId="1" fillId="2" fontId="3" numFmtId="0" xfId="0" applyAlignment="1" applyBorder="1" applyFill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horizontal="center"/>
    </xf>
    <xf borderId="5" fillId="0" fontId="4" numFmtId="0" xfId="0" applyBorder="1" applyFont="1"/>
    <xf borderId="0" fillId="0" fontId="6" numFmtId="0" xfId="0" applyAlignment="1" applyFont="1">
      <alignment vertical="center"/>
    </xf>
    <xf borderId="0" fillId="0" fontId="7" numFmtId="0" xfId="0" applyFont="1"/>
    <xf borderId="0" fillId="0" fontId="8" numFmtId="10" xfId="0" applyAlignment="1" applyFont="1" applyNumberFormat="1">
      <alignment horizontal="center" vertical="center"/>
    </xf>
    <xf borderId="6" fillId="0" fontId="9" numFmtId="0" xfId="0" applyBorder="1" applyFont="1"/>
    <xf borderId="7" fillId="0" fontId="10" numFmtId="0" xfId="0" applyBorder="1" applyFont="1"/>
    <xf borderId="8" fillId="0" fontId="10" numFmtId="0" xfId="0" applyBorder="1" applyFont="1"/>
    <xf borderId="0" fillId="0" fontId="9" numFmtId="0" xfId="0" applyFont="1"/>
    <xf borderId="0" fillId="0" fontId="11" numFmtId="169" xfId="0" applyAlignment="1" applyFont="1" applyNumberFormat="1">
      <alignment horizontal="right"/>
    </xf>
    <xf borderId="0" fillId="0" fontId="10" numFmtId="170" xfId="0" applyAlignment="1" applyFont="1" applyNumberFormat="1">
      <alignment horizontal="right"/>
    </xf>
    <xf borderId="9" fillId="0" fontId="10" numFmtId="0" xfId="0" applyBorder="1" applyFont="1"/>
    <xf borderId="0" fillId="0" fontId="9" numFmtId="169" xfId="0" applyAlignment="1" applyFont="1" applyNumberFormat="1">
      <alignment horizontal="right"/>
    </xf>
    <xf borderId="10" fillId="0" fontId="10" numFmtId="0" xfId="0" applyBorder="1" applyFont="1"/>
    <xf borderId="11" fillId="0" fontId="12" numFmtId="171" xfId="0" applyAlignment="1" applyBorder="1" applyFont="1" applyNumberFormat="1">
      <alignment horizontal="right"/>
    </xf>
    <xf borderId="0" fillId="0" fontId="10" numFmtId="172" xfId="0" applyFont="1" applyNumberFormat="1"/>
    <xf borderId="0" fillId="0" fontId="10" numFmtId="173" xfId="0" applyFont="1" applyNumberFormat="1"/>
    <xf borderId="0" fillId="0" fontId="13" numFmtId="0" xfId="0" applyFont="1"/>
    <xf borderId="12" fillId="4" fontId="14" numFmtId="174" xfId="0" applyAlignment="1" applyBorder="1" applyFill="1" applyFont="1" applyNumberFormat="1">
      <alignment horizontal="right"/>
    </xf>
    <xf borderId="12" fillId="4" fontId="14" numFmtId="173" xfId="0" applyAlignment="1" applyBorder="1" applyFont="1" applyNumberFormat="1">
      <alignment horizontal="right"/>
    </xf>
    <xf borderId="13" fillId="0" fontId="9" numFmtId="0" xfId="0" applyBorder="1" applyFont="1"/>
    <xf borderId="14" fillId="0" fontId="10" numFmtId="0" xfId="0" applyBorder="1" applyFont="1"/>
    <xf borderId="11" fillId="0" fontId="12" numFmtId="175" xfId="0" applyAlignment="1" applyBorder="1" applyFont="1" applyNumberFormat="1">
      <alignment horizontal="right"/>
    </xf>
    <xf borderId="12" fillId="4" fontId="14" numFmtId="169" xfId="0" applyAlignment="1" applyBorder="1" applyFont="1" applyNumberFormat="1">
      <alignment horizontal="right"/>
    </xf>
    <xf borderId="0" fillId="0" fontId="10" numFmtId="169" xfId="0" applyAlignment="1" applyFont="1" applyNumberFormat="1">
      <alignment horizontal="right"/>
    </xf>
    <xf borderId="0" fillId="0" fontId="10" numFmtId="176" xfId="0" applyFont="1" applyNumberFormat="1"/>
    <xf borderId="0" fillId="0" fontId="10" numFmtId="169" xfId="0" applyFont="1" applyNumberFormat="1"/>
    <xf borderId="0" fillId="0" fontId="2" numFmtId="0" xfId="0" applyAlignment="1" applyFont="1">
      <alignment horizontal="center"/>
    </xf>
    <xf borderId="0" fillId="0" fontId="10" numFmtId="0" xfId="0" applyAlignment="1" applyFont="1">
      <alignment horizontal="center"/>
    </xf>
    <xf borderId="15" fillId="5" fontId="15" numFmtId="0" xfId="0" applyBorder="1" applyFill="1" applyFont="1"/>
    <xf borderId="16" fillId="5" fontId="15" numFmtId="0" xfId="0" applyBorder="1" applyFont="1"/>
    <xf borderId="17" fillId="5" fontId="12" numFmtId="170" xfId="0" applyAlignment="1" applyBorder="1" applyFont="1" applyNumberFormat="1">
      <alignment horizontal="right"/>
    </xf>
    <xf borderId="0" fillId="0" fontId="10" numFmtId="174" xfId="0" applyFont="1" applyNumberFormat="1"/>
    <xf borderId="0" fillId="0" fontId="10" numFmtId="0" xfId="0" applyFont="1"/>
    <xf borderId="0" fillId="0" fontId="2" numFmtId="174" xfId="0" applyAlignment="1" applyFont="1" applyNumberFormat="1">
      <alignment horizontal="right"/>
    </xf>
    <xf borderId="0" fillId="0" fontId="2" numFmtId="169" xfId="0" applyAlignment="1" applyFont="1" applyNumberFormat="1">
      <alignment horizontal="right"/>
    </xf>
    <xf borderId="0" fillId="0" fontId="14" numFmtId="169" xfId="0" applyAlignment="1" applyFont="1" applyNumberFormat="1">
      <alignment horizontal="right"/>
    </xf>
    <xf borderId="11" fillId="5" fontId="10" numFmtId="169" xfId="0" applyAlignment="1" applyBorder="1" applyFont="1" applyNumberFormat="1">
      <alignment horizontal="right"/>
    </xf>
    <xf borderId="11" fillId="0" fontId="16" numFmtId="177" xfId="0" applyAlignment="1" applyBorder="1" applyFont="1" applyNumberFormat="1">
      <alignment horizontal="right"/>
    </xf>
    <xf borderId="0" fillId="0" fontId="10" numFmtId="171" xfId="0" applyFont="1" applyNumberFormat="1"/>
    <xf borderId="18" fillId="0" fontId="17" numFmtId="0" xfId="0" applyAlignment="1" applyBorder="1" applyFont="1">
      <alignment horizontal="center"/>
    </xf>
    <xf borderId="13" fillId="0" fontId="10" numFmtId="0" xfId="0" applyBorder="1" applyFont="1"/>
    <xf borderId="12" fillId="6" fontId="10" numFmtId="10" xfId="0" applyBorder="1" applyFill="1" applyFont="1" applyNumberFormat="1"/>
    <xf borderId="12" fillId="6" fontId="10" numFmtId="0" xfId="0" applyBorder="1" applyFont="1"/>
    <xf borderId="0" fillId="0" fontId="2" numFmtId="171" xfId="0" applyFont="1" applyNumberFormat="1"/>
    <xf borderId="11" fillId="0" fontId="12" numFmtId="178" xfId="0" applyAlignment="1" applyBorder="1" applyFont="1" applyNumberFormat="1">
      <alignment horizontal="right"/>
    </xf>
    <xf borderId="0" fillId="0" fontId="12" numFmtId="178" xfId="0" applyAlignment="1" applyFont="1" applyNumberFormat="1">
      <alignment horizontal="right"/>
    </xf>
    <xf borderId="11" fillId="0" fontId="12" numFmtId="179" xfId="0" applyAlignment="1" applyBorder="1" applyFont="1" applyNumberFormat="1">
      <alignment horizontal="right"/>
    </xf>
    <xf borderId="0" fillId="0" fontId="12" numFmtId="179" xfId="0" applyAlignment="1" applyFont="1" applyNumberFormat="1">
      <alignment horizontal="right"/>
    </xf>
    <xf borderId="12" fillId="7" fontId="18" numFmtId="169" xfId="0" applyAlignment="1" applyBorder="1" applyFill="1" applyFont="1" applyNumberFormat="1">
      <alignment horizontal="right" vertical="center"/>
    </xf>
    <xf borderId="19" fillId="7" fontId="18" numFmtId="169" xfId="0" applyAlignment="1" applyBorder="1" applyFont="1" applyNumberFormat="1">
      <alignment horizontal="right" vertical="center"/>
    </xf>
    <xf borderId="20" fillId="7" fontId="18" numFmtId="169" xfId="0" applyAlignment="1" applyBorder="1" applyFont="1" applyNumberFormat="1">
      <alignment horizontal="right" vertical="center"/>
    </xf>
    <xf borderId="21" fillId="7" fontId="18" numFmtId="169" xfId="0" applyAlignment="1" applyBorder="1" applyFont="1" applyNumberFormat="1">
      <alignment horizontal="right" vertical="center"/>
    </xf>
    <xf borderId="12" fillId="7" fontId="18" numFmtId="169" xfId="0" applyAlignment="1" applyBorder="1" applyFont="1" applyNumberFormat="1">
      <alignment horizontal="right"/>
    </xf>
    <xf borderId="22" fillId="7" fontId="18" numFmtId="169" xfId="0" applyAlignment="1" applyBorder="1" applyFont="1" applyNumberFormat="1">
      <alignment horizontal="right" vertical="center"/>
    </xf>
    <xf borderId="23" fillId="7" fontId="18" numFmtId="169" xfId="0" applyAlignment="1" applyBorder="1" applyFont="1" applyNumberFormat="1">
      <alignment horizontal="center" vertical="center"/>
    </xf>
    <xf borderId="4" fillId="7" fontId="18" numFmtId="169" xfId="0" applyAlignment="1" applyBorder="1" applyFont="1" applyNumberFormat="1">
      <alignment horizontal="center" vertical="center"/>
    </xf>
    <xf borderId="12" fillId="8" fontId="14" numFmtId="0" xfId="0" applyAlignment="1" applyBorder="1" applyFill="1" applyFont="1">
      <alignment vertical="top"/>
    </xf>
    <xf borderId="12" fillId="8" fontId="14" numFmtId="0" xfId="0" applyAlignment="1" applyBorder="1" applyFont="1">
      <alignment horizontal="center" vertical="top"/>
    </xf>
    <xf borderId="12" fillId="9" fontId="14" numFmtId="0" xfId="0" applyAlignment="1" applyBorder="1" applyFill="1" applyFont="1">
      <alignment vertical="top"/>
    </xf>
    <xf borderId="12" fillId="8" fontId="14" numFmtId="0" xfId="0" applyAlignment="1" applyBorder="1" applyFont="1">
      <alignment shrinkToFit="0" vertical="top" wrapText="1"/>
    </xf>
    <xf borderId="12" fillId="4" fontId="14" numFmtId="0" xfId="0" applyAlignment="1" applyBorder="1" applyFont="1">
      <alignment shrinkToFit="0" vertical="top" wrapText="1"/>
    </xf>
    <xf borderId="12" fillId="10" fontId="14" numFmtId="169" xfId="0" applyAlignment="1" applyBorder="1" applyFill="1" applyFont="1" applyNumberFormat="1">
      <alignment horizontal="center" shrinkToFit="0" vertical="center" wrapText="1"/>
    </xf>
    <xf borderId="12" fillId="8" fontId="14" numFmtId="169" xfId="0" applyAlignment="1" applyBorder="1" applyFont="1" applyNumberFormat="1">
      <alignment horizontal="right" shrinkToFit="0" vertical="top" wrapText="1"/>
    </xf>
    <xf borderId="12" fillId="4" fontId="14" numFmtId="169" xfId="0" applyAlignment="1" applyBorder="1" applyFont="1" applyNumberFormat="1">
      <alignment horizontal="right" vertical="top"/>
    </xf>
    <xf borderId="12" fillId="4" fontId="14" numFmtId="169" xfId="0" applyAlignment="1" applyBorder="1" applyFont="1" applyNumberFormat="1">
      <alignment horizontal="right" shrinkToFit="0" vertical="top" wrapText="1"/>
    </xf>
    <xf borderId="24" fillId="5" fontId="17" numFmtId="169" xfId="0" applyAlignment="1" applyBorder="1" applyFont="1" applyNumberFormat="1">
      <alignment horizontal="right" shrinkToFit="0" vertical="top" wrapText="1"/>
    </xf>
    <xf borderId="25" fillId="5" fontId="17" numFmtId="169" xfId="0" applyAlignment="1" applyBorder="1" applyFont="1" applyNumberFormat="1">
      <alignment horizontal="right" shrinkToFit="0" vertical="top" wrapText="1"/>
    </xf>
    <xf borderId="26" fillId="5" fontId="17" numFmtId="169" xfId="0" applyAlignment="1" applyBorder="1" applyFont="1" applyNumberFormat="1">
      <alignment horizontal="right" shrinkToFit="0" vertical="top" wrapText="1"/>
    </xf>
    <xf borderId="12" fillId="5" fontId="17" numFmtId="169" xfId="0" applyAlignment="1" applyBorder="1" applyFont="1" applyNumberFormat="1">
      <alignment horizontal="right" shrinkToFit="0" vertical="top" wrapText="1"/>
    </xf>
    <xf borderId="22" fillId="5" fontId="14" numFmtId="169" xfId="0" applyAlignment="1" applyBorder="1" applyFont="1" applyNumberFormat="1">
      <alignment horizontal="right" shrinkToFit="0" vertical="top" wrapText="1"/>
    </xf>
    <xf borderId="12" fillId="5" fontId="14" numFmtId="169" xfId="0" applyAlignment="1" applyBorder="1" applyFont="1" applyNumberFormat="1">
      <alignment horizontal="right" shrinkToFit="0" vertical="top" wrapText="1"/>
    </xf>
    <xf borderId="27" fillId="5" fontId="19" numFmtId="169" xfId="0" applyAlignment="1" applyBorder="1" applyFont="1" applyNumberFormat="1">
      <alignment horizontal="right" shrinkToFit="0" vertical="top" wrapText="1"/>
    </xf>
    <xf borderId="12" fillId="5" fontId="19" numFmtId="169" xfId="0" applyAlignment="1" applyBorder="1" applyFont="1" applyNumberFormat="1">
      <alignment horizontal="right" shrinkToFit="0" vertical="top" wrapText="1"/>
    </xf>
    <xf borderId="28" fillId="5" fontId="19" numFmtId="169" xfId="0" applyAlignment="1" applyBorder="1" applyFont="1" applyNumberFormat="1">
      <alignment horizontal="right" shrinkToFit="0" vertical="top" wrapText="1"/>
    </xf>
    <xf borderId="12" fillId="8" fontId="14" numFmtId="169" xfId="0" applyAlignment="1" applyBorder="1" applyFont="1" applyNumberFormat="1">
      <alignment horizontal="right" vertical="top"/>
    </xf>
    <xf borderId="12" fillId="10" fontId="14" numFmtId="169" xfId="0" applyAlignment="1" applyBorder="1" applyFont="1" applyNumberFormat="1">
      <alignment horizontal="right" vertical="top"/>
    </xf>
    <xf borderId="12" fillId="10" fontId="14" numFmtId="169" xfId="0" applyAlignment="1" applyBorder="1" applyFont="1" applyNumberFormat="1">
      <alignment horizontal="right" shrinkToFit="0" vertical="top" wrapText="1"/>
    </xf>
    <xf borderId="29" fillId="8" fontId="14" numFmtId="169" xfId="0" applyAlignment="1" applyBorder="1" applyFont="1" applyNumberFormat="1">
      <alignment horizontal="right" shrinkToFit="0" vertical="top" wrapText="1"/>
    </xf>
    <xf borderId="29" fillId="4" fontId="14" numFmtId="169" xfId="0" applyAlignment="1" applyBorder="1" applyFont="1" applyNumberFormat="1">
      <alignment horizontal="right" shrinkToFit="0" vertical="top" wrapText="1"/>
    </xf>
    <xf borderId="30" fillId="11" fontId="2" numFmtId="169" xfId="0" applyAlignment="1" applyBorder="1" applyFill="1" applyFont="1" applyNumberFormat="1">
      <alignment horizontal="right" shrinkToFit="0" vertical="top" wrapText="1"/>
    </xf>
    <xf borderId="11" fillId="12" fontId="20" numFmtId="180" xfId="0" applyAlignment="1" applyBorder="1" applyFill="1" applyFont="1" applyNumberFormat="1">
      <alignment horizontal="center" vertical="center"/>
    </xf>
    <xf borderId="11" fillId="5" fontId="10" numFmtId="169" xfId="0" applyAlignment="1" applyBorder="1" applyFont="1" applyNumberFormat="1">
      <alignment horizontal="center"/>
    </xf>
    <xf borderId="11" fillId="12" fontId="20" numFmtId="0" xfId="0" applyAlignment="1" applyBorder="1" applyFont="1">
      <alignment horizontal="center" vertical="center"/>
    </xf>
    <xf borderId="11" fillId="12" fontId="11" numFmtId="0" xfId="0" applyAlignment="1" applyBorder="1" applyFont="1">
      <alignment horizontal="center"/>
    </xf>
    <xf borderId="11" fillId="13" fontId="11" numFmtId="0" xfId="0" applyBorder="1" applyFill="1" applyFont="1"/>
    <xf borderId="11" fillId="0" fontId="11" numFmtId="0" xfId="0" applyBorder="1" applyFont="1"/>
    <xf borderId="11" fillId="0" fontId="11" numFmtId="0" xfId="0" applyAlignment="1" applyBorder="1" applyFont="1">
      <alignment horizontal="center"/>
    </xf>
    <xf borderId="11" fillId="0" fontId="10" numFmtId="0" xfId="0" applyBorder="1" applyFont="1"/>
    <xf borderId="11" fillId="0" fontId="11" numFmtId="174" xfId="0" applyAlignment="1" applyBorder="1" applyFont="1" applyNumberFormat="1">
      <alignment horizontal="right"/>
    </xf>
    <xf borderId="11" fillId="5" fontId="10" numFmtId="181" xfId="0" applyAlignment="1" applyBorder="1" applyFont="1" applyNumberFormat="1">
      <alignment horizontal="right"/>
    </xf>
    <xf borderId="31" fillId="0" fontId="11" numFmtId="173" xfId="0" applyAlignment="1" applyBorder="1" applyFont="1" applyNumberFormat="1">
      <alignment horizontal="right"/>
    </xf>
    <xf borderId="32" fillId="12" fontId="11" numFmtId="169" xfId="0" applyAlignment="1" applyBorder="1" applyFont="1" applyNumberFormat="1">
      <alignment horizontal="right"/>
    </xf>
    <xf borderId="33" fillId="0" fontId="11" numFmtId="173" xfId="0" applyAlignment="1" applyBorder="1" applyFont="1" applyNumberFormat="1">
      <alignment horizontal="right"/>
    </xf>
    <xf borderId="34" fillId="0" fontId="11" numFmtId="173" xfId="0" applyAlignment="1" applyBorder="1" applyFont="1" applyNumberFormat="1">
      <alignment horizontal="right"/>
    </xf>
    <xf borderId="35" fillId="0" fontId="11" numFmtId="173" xfId="0" applyAlignment="1" applyBorder="1" applyFont="1" applyNumberFormat="1">
      <alignment horizontal="right"/>
    </xf>
    <xf borderId="36" fillId="0" fontId="10" numFmtId="173" xfId="0" applyAlignment="1" applyBorder="1" applyFont="1" applyNumberFormat="1">
      <alignment horizontal="right"/>
    </xf>
    <xf borderId="11" fillId="0" fontId="10" numFmtId="173" xfId="0" applyAlignment="1" applyBorder="1" applyFont="1" applyNumberFormat="1">
      <alignment horizontal="right"/>
    </xf>
    <xf borderId="11" fillId="12" fontId="12" numFmtId="170" xfId="0" applyAlignment="1" applyBorder="1" applyFont="1" applyNumberFormat="1">
      <alignment horizontal="right"/>
    </xf>
    <xf borderId="11" fillId="12" fontId="17" numFmtId="169" xfId="0" applyAlignment="1" applyBorder="1" applyFont="1" applyNumberFormat="1">
      <alignment horizontal="right"/>
    </xf>
    <xf borderId="11" fillId="0" fontId="10" numFmtId="174" xfId="0" applyAlignment="1" applyBorder="1" applyFont="1" applyNumberFormat="1">
      <alignment horizontal="right"/>
    </xf>
    <xf borderId="37" fillId="12" fontId="11" numFmtId="170" xfId="0" applyAlignment="1" applyBorder="1" applyFont="1" applyNumberFormat="1">
      <alignment horizontal="right"/>
    </xf>
    <xf borderId="11" fillId="0" fontId="10" numFmtId="169" xfId="0" applyAlignment="1" applyBorder="1" applyFont="1" applyNumberFormat="1">
      <alignment horizontal="right"/>
    </xf>
    <xf borderId="11" fillId="0" fontId="15" numFmtId="174" xfId="0" applyAlignment="1" applyBorder="1" applyFont="1" applyNumberFormat="1">
      <alignment horizontal="right"/>
    </xf>
    <xf borderId="12" fillId="5" fontId="10" numFmtId="169" xfId="0" applyAlignment="1" applyBorder="1" applyFont="1" applyNumberFormat="1">
      <alignment horizontal="right"/>
    </xf>
    <xf borderId="28" fillId="5" fontId="10" numFmtId="169" xfId="0" applyAlignment="1" applyBorder="1" applyFont="1" applyNumberFormat="1">
      <alignment horizontal="right"/>
    </xf>
    <xf borderId="37" fillId="12" fontId="11" numFmtId="182" xfId="0" applyAlignment="1" applyBorder="1" applyFont="1" applyNumberFormat="1">
      <alignment horizontal="right"/>
    </xf>
    <xf borderId="37" fillId="12" fontId="11" numFmtId="183" xfId="0" applyAlignment="1" applyBorder="1" applyFont="1" applyNumberFormat="1">
      <alignment horizontal="right"/>
    </xf>
    <xf borderId="36" fillId="0" fontId="11" numFmtId="182" xfId="0" applyAlignment="1" applyBorder="1" applyFont="1" applyNumberFormat="1">
      <alignment horizontal="right"/>
    </xf>
    <xf borderId="36" fillId="0" fontId="11" numFmtId="184" xfId="0" applyAlignment="1" applyBorder="1" applyFont="1" applyNumberFormat="1">
      <alignment horizontal="right"/>
    </xf>
    <xf borderId="11" fillId="0" fontId="20" numFmtId="173" xfId="0" applyAlignment="1" applyBorder="1" applyFont="1" applyNumberFormat="1">
      <alignment horizontal="right"/>
    </xf>
    <xf borderId="11" fillId="12" fontId="11" numFmtId="175" xfId="0" applyAlignment="1" applyBorder="1" applyFont="1" applyNumberFormat="1">
      <alignment horizontal="right"/>
    </xf>
    <xf borderId="11" fillId="12" fontId="11" numFmtId="182" xfId="0" applyAlignment="1" applyBorder="1" applyFont="1" applyNumberFormat="1">
      <alignment horizontal="right"/>
    </xf>
    <xf borderId="11" fillId="12" fontId="11" numFmtId="183" xfId="0" applyAlignment="1" applyBorder="1" applyFont="1" applyNumberFormat="1">
      <alignment horizontal="right"/>
    </xf>
    <xf borderId="11" fillId="0" fontId="10" numFmtId="183" xfId="0" applyAlignment="1" applyBorder="1" applyFont="1" applyNumberFormat="1">
      <alignment horizontal="right"/>
    </xf>
    <xf borderId="11" fillId="12" fontId="11" numFmtId="171" xfId="0" applyAlignment="1" applyBorder="1" applyFont="1" applyNumberFormat="1">
      <alignment horizontal="right"/>
    </xf>
    <xf borderId="11" fillId="12" fontId="11" numFmtId="185" xfId="0" applyAlignment="1" applyBorder="1" applyFont="1" applyNumberFormat="1">
      <alignment horizontal="right"/>
    </xf>
    <xf borderId="11" fillId="0" fontId="11" numFmtId="171" xfId="0" applyAlignment="1" applyBorder="1" applyFont="1" applyNumberFormat="1">
      <alignment horizontal="right"/>
    </xf>
    <xf borderId="11" fillId="12" fontId="11" numFmtId="171" xfId="0" applyBorder="1" applyFont="1" applyNumberFormat="1"/>
    <xf borderId="0" fillId="0" fontId="12" numFmtId="175" xfId="0" applyAlignment="1" applyFont="1" applyNumberFormat="1">
      <alignment horizontal="right"/>
    </xf>
    <xf borderId="38" fillId="11" fontId="2" numFmtId="169" xfId="0" applyAlignment="1" applyBorder="1" applyFont="1" applyNumberFormat="1">
      <alignment horizontal="right"/>
    </xf>
    <xf borderId="12" fillId="5" fontId="10" numFmtId="171" xfId="0" applyBorder="1" applyFont="1" applyNumberFormat="1"/>
    <xf borderId="37" fillId="14" fontId="12" numFmtId="184" xfId="0" applyAlignment="1" applyBorder="1" applyFill="1" applyFont="1" applyNumberFormat="1">
      <alignment horizontal="right"/>
    </xf>
    <xf borderId="36" fillId="0" fontId="10" numFmtId="184" xfId="0" applyAlignment="1" applyBorder="1" applyFont="1" applyNumberFormat="1">
      <alignment horizontal="right"/>
    </xf>
    <xf borderId="36" fillId="0" fontId="12" numFmtId="182" xfId="0" applyAlignment="1" applyBorder="1" applyFont="1" applyNumberFormat="1">
      <alignment horizontal="right"/>
    </xf>
    <xf borderId="36" fillId="0" fontId="12" numFmtId="175" xfId="0" applyAlignment="1" applyBorder="1" applyFont="1" applyNumberFormat="1">
      <alignment horizontal="right"/>
    </xf>
    <xf borderId="37" fillId="5" fontId="10" numFmtId="182" xfId="0" applyAlignment="1" applyBorder="1" applyFont="1" applyNumberFormat="1">
      <alignment horizontal="right"/>
    </xf>
    <xf borderId="0" fillId="0" fontId="10" numFmtId="186" xfId="0" applyFont="1" applyNumberFormat="1"/>
    <xf borderId="39" fillId="12" fontId="20" numFmtId="180" xfId="0" applyAlignment="1" applyBorder="1" applyFont="1" applyNumberFormat="1">
      <alignment horizontal="center" vertical="center"/>
    </xf>
    <xf borderId="39" fillId="12" fontId="11" numFmtId="0" xfId="0" applyAlignment="1" applyBorder="1" applyFont="1">
      <alignment horizontal="center"/>
    </xf>
    <xf borderId="39" fillId="13" fontId="11" numFmtId="0" xfId="0" applyBorder="1" applyFont="1"/>
    <xf borderId="40" fillId="0" fontId="11" numFmtId="0" xfId="0" applyBorder="1" applyFont="1"/>
    <xf borderId="40" fillId="0" fontId="11" numFmtId="0" xfId="0" applyAlignment="1" applyBorder="1" applyFont="1">
      <alignment horizontal="center"/>
    </xf>
    <xf borderId="40" fillId="0" fontId="10" numFmtId="0" xfId="0" applyBorder="1" applyFont="1"/>
    <xf borderId="39" fillId="0" fontId="11" numFmtId="0" xfId="0" applyBorder="1" applyFont="1"/>
    <xf borderId="40" fillId="0" fontId="11" numFmtId="174" xfId="0" applyAlignment="1" applyBorder="1" applyFont="1" applyNumberFormat="1">
      <alignment horizontal="right"/>
    </xf>
    <xf borderId="41" fillId="0" fontId="10" numFmtId="173" xfId="0" applyAlignment="1" applyBorder="1" applyFont="1" applyNumberFormat="1">
      <alignment horizontal="right"/>
    </xf>
    <xf borderId="40" fillId="0" fontId="10" numFmtId="173" xfId="0" applyAlignment="1" applyBorder="1" applyFont="1" applyNumberFormat="1">
      <alignment horizontal="right"/>
    </xf>
    <xf borderId="39" fillId="12" fontId="11" numFmtId="171" xfId="0" applyAlignment="1" applyBorder="1" applyFont="1" applyNumberFormat="1">
      <alignment horizontal="right"/>
    </xf>
    <xf borderId="39" fillId="12" fontId="11" numFmtId="185" xfId="0" applyAlignment="1" applyBorder="1" applyFont="1" applyNumberFormat="1">
      <alignment horizontal="right"/>
    </xf>
    <xf borderId="42" fillId="14" fontId="12" numFmtId="184" xfId="0" applyAlignment="1" applyBorder="1" applyFont="1" applyNumberFormat="1">
      <alignment horizontal="right"/>
    </xf>
    <xf borderId="41" fillId="0" fontId="10" numFmtId="184" xfId="0" applyAlignment="1" applyBorder="1" applyFont="1" applyNumberFormat="1">
      <alignment horizontal="right"/>
    </xf>
    <xf borderId="39" fillId="12" fontId="20" numFmtId="0" xfId="0" applyAlignment="1" applyBorder="1" applyFont="1">
      <alignment horizontal="center" vertical="center"/>
    </xf>
    <xf borderId="11" fillId="6" fontId="17" numFmtId="169" xfId="0" applyAlignment="1" applyBorder="1" applyFont="1" applyNumberFormat="1">
      <alignment horizontal="right"/>
    </xf>
    <xf borderId="12" fillId="15" fontId="10" numFmtId="169" xfId="0" applyAlignment="1" applyBorder="1" applyFill="1" applyFont="1" applyNumberFormat="1">
      <alignment horizontal="right"/>
    </xf>
    <xf borderId="43" fillId="0" fontId="10" numFmtId="187" xfId="0" applyAlignment="1" applyBorder="1" applyFont="1" applyNumberFormat="1">
      <alignment horizontal="right"/>
    </xf>
    <xf borderId="12" fillId="6" fontId="10" numFmtId="169" xfId="0" applyAlignment="1" applyBorder="1" applyFont="1" applyNumberFormat="1">
      <alignment horizontal="right"/>
    </xf>
    <xf borderId="0" fillId="0" fontId="10" numFmtId="182" xfId="0" applyFont="1" applyNumberFormat="1"/>
    <xf borderId="43" fillId="0" fontId="10" numFmtId="187" xfId="0" applyAlignment="1" applyBorder="1" applyFont="1" applyNumberFormat="1">
      <alignment horizontal="right" vertical="center"/>
    </xf>
    <xf borderId="11" fillId="0" fontId="10" numFmtId="171" xfId="0" applyAlignment="1" applyBorder="1" applyFont="1" applyNumberFormat="1">
      <alignment horizontal="right"/>
    </xf>
    <xf borderId="11" fillId="14" fontId="2" numFmtId="171" xfId="0" applyAlignment="1" applyBorder="1" applyFont="1" applyNumberFormat="1">
      <alignment horizontal="right"/>
    </xf>
    <xf borderId="11" fillId="0" fontId="11" numFmtId="188" xfId="0" applyAlignment="1" applyBorder="1" applyFont="1" applyNumberFormat="1">
      <alignment horizontal="left"/>
    </xf>
    <xf borderId="44" fillId="0" fontId="21" numFmtId="0" xfId="0" applyBorder="1" applyFont="1"/>
    <xf borderId="44" fillId="0" fontId="21" numFmtId="0" xfId="0" applyAlignment="1" applyBorder="1" applyFont="1">
      <alignment horizontal="center"/>
    </xf>
    <xf borderId="44" fillId="0" fontId="10" numFmtId="0" xfId="0" applyBorder="1" applyFont="1"/>
    <xf borderId="44" fillId="0" fontId="10" numFmtId="10" xfId="0" applyBorder="1" applyFont="1" applyNumberFormat="1"/>
    <xf borderId="44" fillId="0" fontId="10" numFmtId="169" xfId="0" applyAlignment="1" applyBorder="1" applyFont="1" applyNumberFormat="1">
      <alignment horizontal="right"/>
    </xf>
    <xf borderId="0" fillId="0" fontId="22" numFmtId="0" xfId="0" applyAlignment="1" applyFont="1">
      <alignment horizontal="right"/>
    </xf>
    <xf borderId="0" fillId="0" fontId="22" numFmtId="4" xfId="0" applyFont="1" applyNumberFormat="1"/>
    <xf borderId="0" fillId="0" fontId="10" numFmtId="4" xfId="0" applyFont="1" applyNumberFormat="1"/>
    <xf borderId="0" fillId="0" fontId="10" numFmtId="175" xfId="0" applyAlignment="1" applyFont="1" applyNumberFormat="1">
      <alignment horizontal="right"/>
    </xf>
    <xf borderId="0" fillId="0" fontId="2" numFmtId="175" xfId="0" applyAlignment="1" applyFont="1" applyNumberFormat="1">
      <alignment horizontal="right"/>
    </xf>
    <xf borderId="0" fillId="0" fontId="2" numFmtId="0" xfId="0" applyAlignment="1" applyFont="1">
      <alignment horizontal="center" vertical="center"/>
    </xf>
    <xf borderId="0" fillId="0" fontId="2" numFmtId="0" xfId="0" applyFont="1"/>
    <xf borderId="0" fillId="0" fontId="10" numFmtId="9" xfId="0" applyFont="1" applyNumberFormat="1"/>
    <xf borderId="0" fillId="0" fontId="22" numFmtId="4" xfId="0" applyAlignment="1" applyFont="1" applyNumberFormat="1">
      <alignment horizontal="right"/>
    </xf>
    <xf borderId="0" fillId="0" fontId="22" numFmtId="0" xfId="0" applyFont="1"/>
    <xf borderId="0" fillId="0" fontId="10" numFmtId="4" xfId="0" applyAlignment="1" applyFont="1" applyNumberFormat="1">
      <alignment horizontal="right"/>
    </xf>
    <xf borderId="0" fillId="0" fontId="10" numFmtId="172" xfId="0" applyAlignment="1" applyFont="1" applyNumberFormat="1">
      <alignment horizontal="right"/>
    </xf>
    <xf borderId="0" fillId="0" fontId="10" numFmtId="189" xfId="0" applyAlignment="1" applyFont="1" applyNumberFormat="1">
      <alignment horizontal="right"/>
    </xf>
    <xf borderId="0" fillId="0" fontId="10" numFmtId="10" xfId="0" applyAlignment="1" applyFont="1" applyNumberFormat="1">
      <alignment horizontal="right"/>
    </xf>
    <xf borderId="0" fillId="0" fontId="10" numFmtId="0" xfId="0" applyAlignment="1" applyFont="1">
      <alignment horizontal="right"/>
    </xf>
    <xf borderId="0" fillId="0" fontId="10" numFmtId="190" xfId="0" applyAlignment="1" applyFont="1" applyNumberFormat="1">
      <alignment horizontal="right"/>
    </xf>
    <xf borderId="0" fillId="0" fontId="10" numFmtId="3" xfId="0" applyFont="1" applyNumberFormat="1"/>
    <xf borderId="0" fillId="0" fontId="2" numFmtId="175" xfId="0" applyAlignment="1" applyFont="1" applyNumberFormat="1">
      <alignment horizontal="center"/>
    </xf>
    <xf borderId="0" fillId="0" fontId="2" numFmtId="169" xfId="0" applyFont="1" applyNumberFormat="1"/>
    <xf borderId="0" fillId="0" fontId="11" numFmtId="4" xfId="0" applyAlignment="1" applyFont="1" applyNumberFormat="1">
      <alignment horizontal="right" shrinkToFit="0" wrapText="1"/>
    </xf>
    <xf borderId="0" fillId="0" fontId="10" numFmtId="10" xfId="0" applyFont="1" applyNumberFormat="1"/>
    <xf borderId="0" fillId="0" fontId="22" numFmtId="190" xfId="0" applyAlignment="1" applyFont="1" applyNumberFormat="1">
      <alignment horizontal="right"/>
    </xf>
    <xf borderId="0" fillId="0" fontId="2" numFmtId="172" xfId="0" applyAlignment="1" applyFont="1" applyNumberFormat="1">
      <alignment horizontal="right"/>
    </xf>
    <xf borderId="0" fillId="0" fontId="2" numFmtId="172" xfId="0" applyFont="1" applyNumberFormat="1"/>
    <xf borderId="0" fillId="0" fontId="2" numFmtId="4" xfId="0" applyFont="1" applyNumberFormat="1"/>
    <xf borderId="0" fillId="0" fontId="10" numFmtId="189" xfId="0" applyFont="1" applyNumberFormat="1"/>
    <xf borderId="0" fillId="0" fontId="10" numFmtId="190" xfId="0" applyFont="1" applyNumberFormat="1"/>
    <xf borderId="0" fillId="0" fontId="10" numFmtId="182" xfId="0" applyAlignment="1" applyFont="1" applyNumberFormat="1">
      <alignment horizontal="right"/>
    </xf>
    <xf borderId="0" fillId="0" fontId="23" numFmtId="0" xfId="0" applyFont="1"/>
    <xf borderId="0" fillId="0" fontId="24" numFmtId="169" xfId="0" applyAlignment="1" applyFont="1" applyNumberFormat="1">
      <alignment horizontal="left"/>
    </xf>
    <xf borderId="0" fillId="0" fontId="2" numFmtId="182" xfId="0" applyAlignment="1" applyFont="1" applyNumberFormat="1">
      <alignment horizontal="right"/>
    </xf>
    <xf borderId="0" fillId="0" fontId="10" numFmtId="0" xfId="0" applyAlignment="1" applyFont="1">
      <alignment vertical="center"/>
    </xf>
    <xf borderId="0" fillId="0" fontId="12" numFmtId="0" xfId="0" applyAlignment="1" applyFont="1">
      <alignment horizontal="right"/>
    </xf>
    <xf borderId="0" fillId="0" fontId="10" numFmtId="174" xfId="0" applyAlignment="1" applyFont="1" applyNumberFormat="1">
      <alignment horizontal="right"/>
    </xf>
    <xf borderId="0" fillId="0" fontId="10" numFmtId="0" xfId="0" applyAlignment="1" applyFont="1">
      <alignment horizontal="left"/>
    </xf>
    <xf borderId="0" fillId="0" fontId="2" numFmtId="0" xfId="0" applyAlignment="1" applyFont="1">
      <alignment horizontal="right"/>
    </xf>
    <xf borderId="45" fillId="14" fontId="2" numFmtId="0" xfId="0" applyAlignment="1" applyBorder="1" applyFont="1">
      <alignment horizontal="center" shrinkToFit="0" vertical="center" wrapText="1"/>
    </xf>
    <xf borderId="12" fillId="14" fontId="10" numFmtId="0" xfId="0" applyAlignment="1" applyBorder="1" applyFont="1">
      <alignment horizontal="center" vertical="center"/>
    </xf>
    <xf borderId="45" fillId="14" fontId="10" numFmtId="0" xfId="0" applyAlignment="1" applyBorder="1" applyFont="1">
      <alignment horizontal="center" vertical="center"/>
    </xf>
    <xf borderId="45" fillId="14" fontId="10" numFmtId="184" xfId="0" applyAlignment="1" applyBorder="1" applyFont="1" applyNumberFormat="1">
      <alignment horizontal="right"/>
    </xf>
    <xf borderId="45" fillId="16" fontId="10" numFmtId="0" xfId="0" applyAlignment="1" applyBorder="1" applyFill="1" applyFont="1">
      <alignment horizontal="center" vertical="center"/>
    </xf>
    <xf borderId="45" fillId="16" fontId="10" numFmtId="184" xfId="0" applyAlignment="1" applyBorder="1" applyFont="1" applyNumberFormat="1">
      <alignment horizontal="right"/>
    </xf>
    <xf borderId="12" fillId="16" fontId="10" numFmtId="0" xfId="0" applyAlignment="1" applyBorder="1" applyFont="1">
      <alignment horizontal="center" vertical="center"/>
    </xf>
    <xf borderId="0" fillId="0" fontId="25" numFmtId="0" xfId="0" applyFont="1"/>
    <xf borderId="0" fillId="0" fontId="26" numFmtId="0" xfId="0" applyFont="1"/>
    <xf borderId="0" fillId="0" fontId="27" numFmtId="0" xfId="0" applyFont="1"/>
    <xf borderId="0" fillId="0" fontId="28" numFmtId="0" xfId="0" applyFont="1"/>
    <xf borderId="0" fillId="0" fontId="28" numFmtId="4" xfId="0" applyFont="1" applyNumberFormat="1"/>
    <xf borderId="0" fillId="14" fontId="2" numFmtId="0" xfId="0" applyAlignment="1" applyFont="1">
      <alignment horizontal="center" shrinkToFit="0" vertical="center" wrapText="1"/>
    </xf>
    <xf borderId="0" fillId="14" fontId="2" numFmtId="164" xfId="0" applyAlignment="1" applyFont="1" applyNumberFormat="1">
      <alignment horizontal="center" shrinkToFit="0" vertical="center" wrapText="1"/>
    </xf>
    <xf borderId="0" fillId="0" fontId="13" numFmtId="0" xfId="0" applyAlignment="1" applyFont="1">
      <alignment readingOrder="0" shrinkToFit="0" wrapText="1"/>
    </xf>
    <xf borderId="0" fillId="0" fontId="13" numFmtId="0" xfId="0" applyAlignment="1" applyFont="1">
      <alignment horizontal="center" readingOrder="0" shrinkToFit="0" wrapText="1"/>
    </xf>
    <xf borderId="0" fillId="0" fontId="13" numFmtId="0" xfId="0" applyAlignment="1" applyFont="1">
      <alignment readingOrder="0"/>
    </xf>
    <xf borderId="46" fillId="17" fontId="13" numFmtId="0" xfId="0" applyAlignment="1" applyBorder="1" applyFill="1" applyFont="1">
      <alignment horizontal="center" readingOrder="0"/>
    </xf>
    <xf borderId="47" fillId="0" fontId="4" numFmtId="0" xfId="0" applyBorder="1" applyFont="1"/>
    <xf borderId="48" fillId="0" fontId="4" numFmtId="0" xfId="0" applyBorder="1" applyFont="1"/>
    <xf borderId="46" fillId="0" fontId="13" numFmtId="0" xfId="0" applyAlignment="1" applyBorder="1" applyFont="1">
      <alignment horizontal="center" readingOrder="0" shrinkToFit="0" wrapText="1"/>
    </xf>
    <xf borderId="49" fillId="0" fontId="4" numFmtId="0" xfId="0" applyBorder="1" applyFont="1"/>
    <xf borderId="0" fillId="0" fontId="2" numFmtId="0" xfId="0" applyAlignment="1" applyFont="1">
      <alignment horizontal="center" readingOrder="0" shrinkToFit="0" vertical="center" wrapText="1"/>
    </xf>
    <xf borderId="0" fillId="0" fontId="29" numFmtId="0" xfId="0" applyAlignment="1" applyFont="1">
      <alignment horizontal="center" readingOrder="0" shrinkToFit="0" vertical="center" wrapText="1"/>
    </xf>
    <xf borderId="0" fillId="18" fontId="30" numFmtId="164" xfId="0" applyAlignment="1" applyFill="1" applyFont="1" applyNumberFormat="1">
      <alignment horizontal="center" readingOrder="0" shrinkToFit="0" vertical="center" wrapText="1"/>
    </xf>
    <xf borderId="0" fillId="0" fontId="13" numFmtId="49" xfId="0" applyAlignment="1" applyFont="1" applyNumberForma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0"/>
    </xf>
    <xf borderId="45" fillId="14" fontId="10" numFmtId="0" xfId="0" applyAlignment="1" applyBorder="1" applyFont="1">
      <alignment horizontal="center" shrinkToFit="0" vertical="center" wrapText="0"/>
    </xf>
    <xf borderId="45" fillId="0" fontId="31" numFmtId="0" xfId="0" applyAlignment="1" applyBorder="1" applyFont="1">
      <alignment horizontal="center" shrinkToFit="0" vertical="center" wrapText="0"/>
    </xf>
    <xf borderId="45" fillId="14" fontId="32" numFmtId="0" xfId="0" applyAlignment="1" applyBorder="1" applyFont="1">
      <alignment horizontal="center" shrinkToFit="0" vertical="center" wrapText="0"/>
    </xf>
    <xf borderId="45" fillId="14" fontId="33" numFmtId="164" xfId="0" applyAlignment="1" applyBorder="1" applyFont="1" applyNumberFormat="1">
      <alignment horizontal="center" readingOrder="0" shrinkToFit="0" vertical="center" wrapText="0"/>
    </xf>
    <xf borderId="45" fillId="0" fontId="34" numFmtId="4" xfId="0" applyAlignment="1" applyBorder="1" applyFont="1" applyNumberFormat="1">
      <alignment horizontal="center" shrinkToFit="0" vertical="center" wrapText="0"/>
    </xf>
    <xf borderId="45" fillId="0" fontId="10" numFmtId="4" xfId="0" applyAlignment="1" applyBorder="1" applyFont="1" applyNumberFormat="1">
      <alignment horizontal="center" shrinkToFit="0" vertical="center" wrapText="0"/>
    </xf>
    <xf borderId="45" fillId="0" fontId="13" numFmtId="0" xfId="0" applyAlignment="1" applyBorder="1" applyFont="1">
      <alignment horizontal="center" readingOrder="0" shrinkToFit="0" vertical="center" wrapText="0"/>
    </xf>
    <xf borderId="45" fillId="0" fontId="13" numFmtId="165" xfId="0" applyAlignment="1" applyBorder="1" applyFont="1" applyNumberFormat="1">
      <alignment horizontal="center" readingOrder="0" shrinkToFit="0" vertical="center" wrapText="1"/>
    </xf>
    <xf borderId="45" fillId="0" fontId="13" numFmtId="0" xfId="0" applyAlignment="1" applyBorder="1" applyFont="1">
      <alignment horizontal="center" readingOrder="0" shrinkToFit="0" vertical="center" wrapText="0"/>
    </xf>
    <xf borderId="45" fillId="0" fontId="13" numFmtId="0" xfId="0" applyAlignment="1" applyBorder="1" applyFont="1">
      <alignment horizontal="center" shrinkToFit="0" vertical="center" wrapText="0"/>
    </xf>
    <xf borderId="45" fillId="0" fontId="13" numFmtId="166" xfId="0" applyAlignment="1" applyBorder="1" applyFont="1" applyNumberFormat="1">
      <alignment horizontal="center" readingOrder="0" shrinkToFit="0" vertical="center" wrapText="0"/>
    </xf>
    <xf borderId="45" fillId="0" fontId="13" numFmtId="167" xfId="0" applyAlignment="1" applyBorder="1" applyFont="1" applyNumberFormat="1">
      <alignment horizontal="center" readingOrder="0" shrinkToFit="0" vertical="center" wrapText="0"/>
    </xf>
    <xf borderId="45" fillId="0" fontId="13" numFmtId="168" xfId="0" applyAlignment="1" applyBorder="1" applyFont="1" applyNumberFormat="1">
      <alignment horizontal="center" readingOrder="0" shrinkToFit="0" vertical="center" wrapText="0"/>
    </xf>
    <xf borderId="45" fillId="0" fontId="13" numFmtId="0" xfId="0" applyAlignment="1" applyBorder="1" applyFont="1">
      <alignment horizontal="center" readingOrder="0" shrinkToFit="0" vertical="center" wrapText="0"/>
    </xf>
    <xf borderId="45" fillId="0" fontId="35" numFmtId="168" xfId="0" applyAlignment="1" applyBorder="1" applyFont="1" applyNumberFormat="1">
      <alignment horizontal="center" readingOrder="0" shrinkToFit="0" vertical="center" wrapText="0"/>
    </xf>
    <xf borderId="45" fillId="0" fontId="13" numFmtId="0" xfId="0" applyAlignment="1" applyBorder="1" applyFont="1">
      <alignment horizontal="center" shrinkToFit="0" vertical="center" wrapText="0"/>
    </xf>
    <xf borderId="45" fillId="0" fontId="13" numFmtId="191" xfId="0" applyAlignment="1" applyBorder="1" applyFont="1" applyNumberFormat="1">
      <alignment horizontal="center" readingOrder="0" shrinkToFit="0" vertical="center" wrapText="0"/>
    </xf>
    <xf borderId="45" fillId="14" fontId="36" numFmtId="164" xfId="0" applyAlignment="1" applyBorder="1" applyFont="1" applyNumberFormat="1">
      <alignment horizontal="center" shrinkToFit="0" vertical="center" wrapText="0"/>
    </xf>
    <xf borderId="45" fillId="19" fontId="37" numFmtId="164" xfId="0" applyAlignment="1" applyBorder="1" applyFill="1" applyFont="1" applyNumberFormat="1">
      <alignment horizontal="center" readingOrder="0" shrinkToFit="0" vertical="center" wrapText="0"/>
    </xf>
    <xf borderId="45" fillId="20" fontId="38" numFmtId="164" xfId="0" applyAlignment="1" applyBorder="1" applyFill="1" applyFont="1" applyNumberFormat="1">
      <alignment horizontal="center" shrinkToFit="0" vertical="center" wrapText="0"/>
    </xf>
    <xf borderId="45" fillId="0" fontId="10" numFmtId="0" xfId="0" applyAlignment="1" applyBorder="1" applyFont="1">
      <alignment horizontal="center" shrinkToFit="0" vertical="center" wrapText="0"/>
    </xf>
    <xf borderId="45" fillId="20" fontId="10" numFmtId="164" xfId="0" applyAlignment="1" applyBorder="1" applyFont="1" applyNumberFormat="1">
      <alignment horizontal="center" shrinkToFit="0" vertical="center" wrapText="0"/>
    </xf>
    <xf borderId="45" fillId="0" fontId="13" numFmtId="165" xfId="0" applyAlignment="1" applyBorder="1" applyFont="1" applyNumberFormat="1">
      <alignment horizontal="center" readingOrder="0" shrinkToFit="0" vertical="center" wrapText="0"/>
    </xf>
    <xf borderId="45" fillId="14" fontId="10" numFmtId="164" xfId="0" applyAlignment="1" applyBorder="1" applyFont="1" applyNumberFormat="1">
      <alignment horizontal="center" readingOrder="0" shrinkToFit="0" vertical="center" wrapText="0"/>
    </xf>
    <xf borderId="45" fillId="14" fontId="10" numFmtId="164" xfId="0" applyAlignment="1" applyBorder="1" applyFont="1" applyNumberFormat="1">
      <alignment horizontal="center" shrinkToFit="0" vertical="center" wrapText="0"/>
    </xf>
    <xf borderId="45" fillId="0" fontId="13" numFmtId="191" xfId="0" applyAlignment="1" applyBorder="1" applyFont="1" applyNumberFormat="1">
      <alignment horizontal="center" readingOrder="0" shrinkToFit="0" vertical="center" wrapText="1"/>
    </xf>
    <xf borderId="45" fillId="16" fontId="10" numFmtId="0" xfId="0" applyAlignment="1" applyBorder="1" applyFont="1">
      <alignment horizontal="center" shrinkToFit="0" vertical="center" wrapText="0"/>
    </xf>
    <xf borderId="45" fillId="14" fontId="39" numFmtId="4" xfId="0" applyAlignment="1" applyBorder="1" applyFont="1" applyNumberFormat="1">
      <alignment horizontal="center" shrinkToFit="0" vertical="center" wrapText="0"/>
    </xf>
    <xf borderId="45" fillId="14" fontId="10" numFmtId="4" xfId="0" applyAlignment="1" applyBorder="1" applyFont="1" applyNumberFormat="1">
      <alignment horizontal="center" shrinkToFit="0" vertical="center" wrapText="0"/>
    </xf>
    <xf borderId="45" fillId="0" fontId="40" numFmtId="0" xfId="0" applyAlignment="1" applyBorder="1" applyFont="1">
      <alignment horizontal="center" shrinkToFit="0" vertical="center" wrapText="0"/>
    </xf>
    <xf borderId="45" fillId="0" fontId="35" numFmtId="192" xfId="0" applyAlignment="1" applyBorder="1" applyFont="1" applyNumberFormat="1">
      <alignment horizontal="center" shrinkToFit="0" vertical="center" wrapText="1"/>
    </xf>
    <xf borderId="45" fillId="0" fontId="35" numFmtId="0" xfId="0" applyAlignment="1" applyBorder="1" applyFont="1">
      <alignment horizontal="center" shrinkToFit="0" vertical="center" wrapText="1"/>
    </xf>
    <xf borderId="45" fillId="0" fontId="13" numFmtId="193" xfId="0" applyAlignment="1" applyBorder="1" applyFont="1" applyNumberFormat="1">
      <alignment horizontal="center" readingOrder="0" shrinkToFit="0" vertical="center" wrapText="0"/>
    </xf>
    <xf borderId="45" fillId="0" fontId="13" numFmtId="194" xfId="0" applyAlignment="1" applyBorder="1" applyFont="1" applyNumberFormat="1">
      <alignment horizontal="center" readingOrder="0" shrinkToFit="0" vertical="center" wrapText="0"/>
    </xf>
    <xf borderId="45" fillId="0" fontId="13" numFmtId="195" xfId="0" applyAlignment="1" applyBorder="1" applyFont="1" applyNumberFormat="1">
      <alignment horizontal="center" readingOrder="0" shrinkToFit="0" vertical="center" wrapText="0"/>
    </xf>
    <xf borderId="45" fillId="21" fontId="41" numFmtId="164" xfId="0" applyAlignment="1" applyBorder="1" applyFill="1" applyFont="1" applyNumberFormat="1">
      <alignment horizontal="center" readingOrder="0" shrinkToFit="0" vertical="center" wrapText="0"/>
    </xf>
    <xf borderId="45" fillId="0" fontId="13" numFmtId="0" xfId="0" applyAlignment="1" applyBorder="1" applyFont="1">
      <alignment horizontal="center" shrinkToFit="0" vertical="center" wrapText="0"/>
    </xf>
    <xf borderId="0" fillId="0" fontId="42" numFmtId="0" xfId="0" applyAlignment="1" applyFont="1">
      <alignment shrinkToFit="0" vertical="center" wrapText="0"/>
    </xf>
    <xf borderId="45" fillId="0" fontId="35" numFmtId="196" xfId="0" applyAlignment="1" applyBorder="1" applyFont="1" applyNumberFormat="1">
      <alignment horizontal="center" shrinkToFit="0" vertical="center" wrapText="1"/>
    </xf>
    <xf borderId="45" fillId="21" fontId="43" numFmtId="164" xfId="0" applyAlignment="1" applyBorder="1" applyFont="1" applyNumberFormat="1">
      <alignment horizontal="center" shrinkToFit="0" vertical="center" wrapText="0"/>
    </xf>
    <xf borderId="45" fillId="22" fontId="44" numFmtId="164" xfId="0" applyAlignment="1" applyBorder="1" applyFill="1" applyFont="1" applyNumberFormat="1">
      <alignment horizontal="center" shrinkToFit="0" vertical="center" wrapText="0"/>
    </xf>
    <xf borderId="45" fillId="23" fontId="45" numFmtId="164" xfId="0" applyAlignment="1" applyBorder="1" applyFill="1" applyFont="1" applyNumberFormat="1">
      <alignment horizontal="center" readingOrder="0" shrinkToFit="0" vertical="center" wrapText="0"/>
    </xf>
    <xf borderId="45" fillId="0" fontId="35" numFmtId="168" xfId="0" applyAlignment="1" applyBorder="1" applyFont="1" applyNumberFormat="1">
      <alignment horizontal="center" readingOrder="0" shrinkToFit="0" vertical="center" wrapText="1"/>
    </xf>
    <xf borderId="45" fillId="0" fontId="46" numFmtId="0" xfId="0" applyAlignment="1" applyBorder="1" applyFont="1">
      <alignment horizontal="center" shrinkToFit="0" vertical="center" wrapText="0"/>
    </xf>
    <xf borderId="45" fillId="0" fontId="35" numFmtId="191" xfId="0" applyAlignment="1" applyBorder="1" applyFont="1" applyNumberFormat="1">
      <alignment horizontal="center" readingOrder="0" shrinkToFit="0" vertical="center" wrapText="1"/>
    </xf>
    <xf borderId="45" fillId="0" fontId="28" numFmtId="0" xfId="0" applyAlignment="1" applyBorder="1" applyFont="1">
      <alignment horizontal="center" shrinkToFit="0" vertical="center" wrapText="0"/>
    </xf>
    <xf borderId="45" fillId="0" fontId="35" numFmtId="0" xfId="0" applyAlignment="1" applyBorder="1" applyFont="1">
      <alignment horizontal="center" shrinkToFit="0" vertical="center" wrapText="0"/>
    </xf>
    <xf borderId="45" fillId="0" fontId="13" numFmtId="168" xfId="0" applyAlignment="1" applyBorder="1" applyFont="1" applyNumberFormat="1">
      <alignment horizontal="center" shrinkToFit="0" vertical="center" wrapText="0"/>
    </xf>
    <xf borderId="45" fillId="0" fontId="13" numFmtId="197" xfId="0" applyAlignment="1" applyBorder="1" applyFont="1" applyNumberFormat="1">
      <alignment horizontal="center" readingOrder="0" shrinkToFit="0" vertical="center" wrapText="0"/>
    </xf>
    <xf borderId="45" fillId="0" fontId="35" numFmtId="198" xfId="0" applyAlignment="1" applyBorder="1" applyFont="1" applyNumberFormat="1">
      <alignment horizontal="center" readingOrder="0" shrinkToFit="0" vertical="center" wrapText="1"/>
    </xf>
    <xf borderId="45" fillId="14" fontId="10" numFmtId="0" xfId="0" applyAlignment="1" applyBorder="1" applyFont="1">
      <alignment horizontal="center" readingOrder="0" shrinkToFit="0" vertical="center" wrapText="0"/>
    </xf>
    <xf borderId="45" fillId="0" fontId="47" numFmtId="0" xfId="0" applyAlignment="1" applyBorder="1" applyFont="1">
      <alignment horizontal="center" readingOrder="0" shrinkToFit="0" vertical="center" wrapText="0"/>
    </xf>
    <xf borderId="45" fillId="0" fontId="48" numFmtId="0" xfId="0" applyAlignment="1" applyBorder="1" applyFont="1">
      <alignment horizontal="center" readingOrder="0" shrinkToFit="0" vertical="center" wrapText="0"/>
    </xf>
    <xf borderId="45" fillId="14" fontId="49" numFmtId="164" xfId="0" applyAlignment="1" applyBorder="1" applyFont="1" applyNumberFormat="1">
      <alignment horizontal="center" readingOrder="0" shrinkToFit="0" vertical="center" wrapText="0"/>
    </xf>
    <xf borderId="45" fillId="0" fontId="50" numFmtId="4" xfId="0" applyAlignment="1" applyBorder="1" applyFont="1" applyNumberFormat="1">
      <alignment horizontal="center" readingOrder="0" shrinkToFit="0" vertical="center" wrapText="0"/>
    </xf>
    <xf borderId="45" fillId="0" fontId="10" numFmtId="4" xfId="0" applyAlignment="1" applyBorder="1" applyFont="1" applyNumberFormat="1">
      <alignment horizontal="center" shrinkToFit="0" vertical="center" wrapText="0"/>
    </xf>
    <xf borderId="45" fillId="0" fontId="13" numFmtId="0" xfId="0" applyAlignment="1" applyBorder="1" applyFont="1">
      <alignment horizontal="center" readingOrder="0" shrinkToFit="0" vertical="center" wrapText="0"/>
    </xf>
    <xf borderId="45" fillId="0" fontId="13" numFmtId="0" xfId="0" applyAlignment="1" applyBorder="1" applyFont="1">
      <alignment horizontal="center" shrinkToFit="0" vertical="center" wrapText="0"/>
    </xf>
    <xf borderId="45" fillId="0" fontId="13" numFmtId="0" xfId="0" applyAlignment="1" applyBorder="1" applyFont="1">
      <alignment horizontal="center" shrinkToFit="0" vertical="center" wrapText="0"/>
    </xf>
    <xf borderId="45" fillId="0" fontId="13" numFmtId="167" xfId="0" applyAlignment="1" applyBorder="1" applyFont="1" applyNumberFormat="1">
      <alignment horizontal="center" readingOrder="0" shrinkToFit="0" vertical="center" wrapText="0"/>
    </xf>
    <xf borderId="45" fillId="0" fontId="13" numFmtId="168" xfId="0" applyAlignment="1" applyBorder="1" applyFont="1" applyNumberFormat="1">
      <alignment horizontal="center" readingOrder="0" shrinkToFit="0" vertical="center" wrapText="0"/>
    </xf>
    <xf borderId="45" fillId="0" fontId="28" numFmtId="0" xfId="0" applyAlignment="1" applyBorder="1" applyFont="1">
      <alignment horizontal="center" readingOrder="0" shrinkToFit="0" vertical="center" wrapText="0"/>
    </xf>
    <xf borderId="45" fillId="14" fontId="10" numFmtId="164" xfId="0" applyAlignment="1" applyBorder="1" applyFont="1" applyNumberFormat="1">
      <alignment horizontal="center" readingOrder="0" shrinkToFit="0" vertical="center" wrapText="0"/>
    </xf>
    <xf borderId="45" fillId="0" fontId="10" numFmtId="4" xfId="0" applyAlignment="1" applyBorder="1" applyFont="1" applyNumberFormat="1">
      <alignment readingOrder="0" shrinkToFit="0" vertical="center" wrapText="0"/>
    </xf>
    <xf borderId="45" fillId="0" fontId="10" numFmtId="4" xfId="0" applyAlignment="1" applyBorder="1" applyFont="1" applyNumberFormat="1">
      <alignment shrinkToFit="0" vertical="center" wrapText="0"/>
    </xf>
    <xf borderId="45" fillId="0" fontId="13" numFmtId="0" xfId="0" applyAlignment="1" applyBorder="1" applyFont="1">
      <alignment shrinkToFit="0" vertical="center" wrapText="0"/>
    </xf>
    <xf borderId="45" fillId="0" fontId="13" numFmtId="0" xfId="0" applyAlignment="1" applyBorder="1" applyFont="1">
      <alignment readingOrder="0" shrinkToFit="0" vertical="center" wrapText="0"/>
    </xf>
    <xf borderId="45" fillId="0" fontId="13" numFmtId="0" xfId="0" applyAlignment="1" applyBorder="1" applyFont="1">
      <alignment shrinkToFit="0" vertical="center" wrapText="0"/>
    </xf>
    <xf borderId="45" fillId="0" fontId="13" numFmtId="0" xfId="0" applyAlignment="1" applyBorder="1" applyFont="1">
      <alignment readingOrder="0" shrinkToFit="0" vertical="center" wrapText="0"/>
    </xf>
    <xf borderId="45" fillId="0" fontId="13" numFmtId="0" xfId="0" applyAlignment="1" applyBorder="1" applyFont="1">
      <alignment shrinkToFit="0" vertical="center" wrapText="0"/>
    </xf>
    <xf borderId="45" fillId="0" fontId="13" numFmtId="167" xfId="0" applyAlignment="1" applyBorder="1" applyFont="1" applyNumberFormat="1">
      <alignment readingOrder="0" shrinkToFit="0" vertical="center" wrapText="0"/>
    </xf>
    <xf borderId="45" fillId="0" fontId="13" numFmtId="168" xfId="0" applyAlignment="1" applyBorder="1" applyFont="1" applyNumberFormat="1">
      <alignment readingOrder="0" shrinkToFit="0" vertical="center" wrapText="0"/>
    </xf>
    <xf borderId="0" fillId="14" fontId="10" numFmtId="0" xfId="0" applyAlignment="1" applyFont="1">
      <alignment horizontal="center" readingOrder="0" shrinkToFit="0" vertical="center" wrapText="0"/>
    </xf>
    <xf borderId="0" fillId="0" fontId="28" numFmtId="0" xfId="0" applyAlignment="1" applyFont="1">
      <alignment horizontal="center" readingOrder="0" shrinkToFit="0" vertical="center" wrapText="0"/>
    </xf>
    <xf borderId="0" fillId="14" fontId="10" numFmtId="164" xfId="0" applyAlignment="1" applyFont="1" applyNumberFormat="1">
      <alignment horizontal="center" readingOrder="0" shrinkToFit="0" vertical="center" wrapText="0"/>
    </xf>
    <xf borderId="0" fillId="0" fontId="10" numFmtId="4" xfId="0" applyAlignment="1" applyFont="1" applyNumberFormat="1">
      <alignment readingOrder="0" shrinkToFit="0" vertical="center" wrapText="0"/>
    </xf>
    <xf borderId="0" fillId="0" fontId="10" numFmtId="4" xfId="0" applyAlignment="1" applyFont="1" applyNumberFormat="1">
      <alignment shrinkToFit="0" vertical="center" wrapText="0"/>
    </xf>
    <xf borderId="0" fillId="0" fontId="13" numFmtId="0" xfId="0" applyAlignment="1" applyFont="1">
      <alignment shrinkToFit="0" vertical="center" wrapText="0"/>
    </xf>
    <xf borderId="0" fillId="0" fontId="13" numFmtId="0" xfId="0" applyAlignment="1" applyFont="1">
      <alignment horizontal="center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3" numFmtId="0" xfId="0" applyAlignment="1" applyFont="1">
      <alignment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3" numFmtId="0" xfId="0" applyAlignment="1" applyFont="1">
      <alignment shrinkToFit="0" vertical="center" wrapText="0"/>
    </xf>
    <xf borderId="0" fillId="0" fontId="13" numFmtId="167" xfId="0" applyAlignment="1" applyFont="1" applyNumberFormat="1">
      <alignment readingOrder="0" shrinkToFit="0" vertical="center" wrapText="0"/>
    </xf>
    <xf borderId="0" fillId="0" fontId="13" numFmtId="168" xfId="0" applyAlignment="1" applyFont="1" applyNumberFormat="1">
      <alignment readingOrder="0" shrinkToFit="0" vertical="center" wrapText="0"/>
    </xf>
    <xf borderId="0" fillId="0" fontId="10" numFmtId="164" xfId="0" applyAlignment="1" applyFont="1" applyNumberFormat="1">
      <alignment horizontal="center"/>
    </xf>
    <xf borderId="0" fillId="0" fontId="13" numFmtId="0" xfId="0" applyAlignment="1" applyFont="1">
      <alignment horizontal="center"/>
    </xf>
    <xf borderId="45" fillId="0" fontId="10" numFmtId="0" xfId="0" applyAlignment="1" applyBorder="1" applyFont="1">
      <alignment horizontal="center"/>
    </xf>
    <xf borderId="45" fillId="0" fontId="10" numFmtId="164" xfId="0" applyAlignment="1" applyBorder="1" applyFont="1" applyNumberFormat="1">
      <alignment horizontal="center"/>
    </xf>
    <xf borderId="45" fillId="0" fontId="13" numFmtId="49" xfId="0" applyBorder="1" applyFont="1" applyNumberFormat="1"/>
    <xf borderId="45" fillId="0" fontId="13" numFmtId="0" xfId="0" applyAlignment="1" applyBorder="1" applyFont="1">
      <alignment horizontal="center" shrinkToFit="0" wrapText="1"/>
    </xf>
    <xf borderId="45" fillId="0" fontId="13" numFmtId="0" xfId="0" applyBorder="1" applyFont="1"/>
    <xf borderId="45" fillId="0" fontId="13" numFmtId="0" xfId="0" applyAlignment="1" applyBorder="1" applyFont="1">
      <alignment horizontal="center"/>
    </xf>
    <xf borderId="0" fillId="0" fontId="13" numFmtId="4" xfId="0" applyFont="1" applyNumberFormat="1"/>
    <xf borderId="0" fillId="0" fontId="10" numFmtId="199" xfId="0" applyFont="1" applyNumberFormat="1"/>
  </cellXfs>
  <cellStyles count="1">
    <cellStyle xfId="0" name="Normal" builtinId="0"/>
  </cellStyles>
  <dxfs count="9">
    <dxf>
      <font/>
      <fill>
        <patternFill patternType="solid">
          <fgColor rgb="FFD8D8D8"/>
          <bgColor rgb="FFD8D8D8"/>
        </patternFill>
      </fill>
      <border/>
    </dxf>
    <dxf>
      <font>
        <b/>
        <color rgb="FF00B050"/>
      </font>
      <fill>
        <patternFill patternType="solid">
          <fgColor rgb="FFD9F2D0"/>
          <bgColor rgb="FFD9F2D0"/>
        </patternFill>
      </fill>
      <border/>
    </dxf>
    <dxf>
      <font>
        <b/>
        <color rgb="FFC00000"/>
      </font>
      <fill>
        <patternFill patternType="solid">
          <fgColor rgb="FFFAE2D5"/>
          <bgColor rgb="FFFAE2D5"/>
        </patternFill>
      </fill>
      <border/>
    </dxf>
    <dxf>
      <font/>
      <fill>
        <patternFill patternType="solid">
          <fgColor rgb="FF7F7F7F"/>
          <bgColor rgb="FF7F7F7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rogramación preventiva 2026-style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>
  <Task id="{af29e4fd-7f89-44d4-a13a-934db4513680}">
    <Anchor>
      <Comment id="{0ce8860e-5788-4bc2-8a55-c7b3c5a8816f}"/>
    </Anchor>
    <History>
      <Event time="2026-05-24T19:31:14.00" id="{02352c5b-2d8f-46ce-8fbb-3ea8b78bcc28}">
        <Attribution userId="placeholder@email.com" userName="Luis Angel Martínez Cruz" userProvider="google-sheets"/>
        <Anchor>
          <Comment id="{0ce8860e-5788-4bc2-8a55-c7b3c5a8816f}"/>
        </Anchor>
        <Create/>
      </Event>
      <Event time="2026-05-24T19:31:14.00" id="{d68915a6-91ed-4e71-a784-612327ca75c9}">
        <Attribution userId="placeholder@email.com" userName="Luis Angel Martínez Cruz" userProvider="google-sheets"/>
        <Anchor>
          <Comment id="{0ce8860e-5788-4bc2-8a55-c7b3c5a8816f}"/>
        </Anchor>
        <Assign userId="yessica.estrada@enlight.mx" userName="yessica.estrada@enlight.mx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142875</xdr:colOff>
      <xdr:row>0</xdr:row>
      <xdr:rowOff>76200</xdr:rowOff>
    </xdr:from>
    <xdr:ext cx="1104900" cy="257175"/>
    <xdr:sp>
      <xdr:nvSpPr>
        <xdr:cNvPr id="3" name="Shape 3"/>
        <xdr:cNvSpPr/>
      </xdr:nvSpPr>
      <xdr:spPr>
        <a:xfrm>
          <a:off x="4798313" y="3656175"/>
          <a:ext cx="1095375" cy="247650"/>
        </a:xfrm>
        <a:prstGeom prst="roundRect">
          <a:avLst>
            <a:gd fmla="val 16667" name="adj"/>
          </a:avLst>
        </a:prstGeom>
        <a:solidFill>
          <a:srgbClr val="0000FF"/>
        </a:solidFill>
        <a:ln>
          <a:noFill/>
        </a:ln>
        <a:effectLst>
          <a:outerShdw blurRad="44450" algn="ctr" dir="5400000" dist="27940">
            <a:srgbClr val="000000">
              <a:alpha val="32156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Macro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olando.pineda@enlight.mx" id="{58524f6d-082f-4907-b7fa-902191d08af1}" userId="rolando.pineda@enlight.mx" providerId="google-sheets"/>
  <x18tc:person displayName="Yessica Estrada Escobar" id="{e8405ef7-f3e0-4cef-a48f-7deb4695265c}" providerId="google-sheets"/>
  <x18tc:person displayName="yessica.estrada@enlight.mx" id="{af8e8644-cdcc-4801-86c6-87105d81bb35}" userId="yessica.estrada@enlight.mx" providerId="google-sheets"/>
  <x18tc:person displayName="Luis Angel Martínez Cruz" id="{9cabb22e-17ad-4e26-ada0-b8579a70c838}" providerId="google-sheets"/>
  <x18tc:person displayName="Diego Bermúdez" id="{157a32fc-0908-443e-91af-1408f83def18}" providerId="google-sheets"/>
  <x18tc:person displayName="José Ángel Molina Pineda" id="{8f68b539-f9a3-4b6f-9243-d38a711b2a71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AC186" sheet="Programación preventiva 2026"/>
  </cacheSource>
  <cacheFields>
    <cacheField name="#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m/>
      </sharedItems>
    </cacheField>
    <cacheField name="Nombre de sitio " numFmtId="0">
      <sharedItems containsBlank="1">
        <s v="Waldaschaff Automotive | León SFV 2252"/>
        <s v="Legrand | LEGRAND BTICINO Querétaro"/>
        <s v="Forvia | PUEBLA - MEX0420"/>
        <s v="Forvia | QUERETARO - MEX0425"/>
        <s v="Forvia | SAN LUIS POTOSI - MEX0430"/>
        <s v="Forvia | SILAO - MEX0432"/>
        <s v="Forvia | PUEBLA - MEX0739"/>
        <s v="Forvia | PUEBLA - MEX0821"/>
        <s v="Forvia | SAN LUIS POTOSI - MEX0967"/>
        <s v="Forvia | SAN JOSE ITURBIDE - MEX0968"/>
        <s v="Forvia | SAN LUIS POTOSI - MEX1007"/>
        <s v="Forvia | MONTERREY - MEX0940"/>
        <s v="Forvia | MONTERREY - MEX0940 NAVE II"/>
        <s v="Forvia | MONTERREY - MEX1535"/>
        <s v="MSA de México | Queretaro"/>
        <s v="Thyssenkrupp | Dynamics Components"/>
        <s v="American Specialized Textiles | Ámbar - vía 66"/>
        <s v="American Specialized Textiles | American Textil - vía 68"/>
        <s v="American Specialized Textiles | American Textil BEES - vía 68"/>
        <s v="Playa Hoteles | hotel Hyatt Ziva Cancún"/>
        <s v="Playa Hoteles | Hilton Playa del Carmen"/>
        <s v="Playa Hoteles | Wyndham Alltra Cancun"/>
        <s v="Playa Hoteles | Hyatt Zilara Cancun"/>
        <s v="Antex | Tlaxcala"/>
        <s v="Legrand | Apodaca"/>
        <s v="Ediplast | Ediplast SFV"/>
        <s v="Ediplast | Ediplast BESS"/>
        <s v="Antex | Antex Tlaxcala 2"/>
        <s v="GG CABLES AND WIRES | CX2"/>
        <s v="GG CABLES AND WIRES | CX1"/>
        <s v="Eaton | Truck Compenentes"/>
        <s v="Eaton | Nogales"/>
        <s v="Eaton | TCP Motus"/>
        <s v="Eaton | ICD Frontera"/>
        <s v="Eaton | Curuscant"/>
        <s v="Eaton | Bussmann"/>
        <s v="Eaton | Eaton Filtration Reynosa"/>
        <s v="Eaton | Eaton Industries Reynosa"/>
        <s v="Eaton | Eaton Iztapalapa"/>
        <s v="Eaton | Eaton Juarez CPA"/>
        <s v="Eaton | Market Power Tijuana"/>
        <s v="Eaton | Market Souriau Tijuana"/>
        <s v="Eaton | Martek power reynosa"/>
        <s v="Eaton | Aguascalientes"/>
        <s v="Eaton | Aerospace Tijuana"/>
        <s v="Chanaust"/>
        <s v="MD Electronik"/>
        <s v="Auto Todo - Puebla - FV"/>
        <s v="Banco de Alimentos - FV"/>
        <s v="Liverpool - Chilpancingo - FV"/>
        <s v="Liverpool - Colima - FV"/>
        <s v="Liverpool - Guadalajara Galerías - FV"/>
        <s v="Liverpool - La Paz - FV"/>
        <s v="Liverpool - La Perla - FV"/>
        <s v="Liverpool - Mérida Cabo Norte - FV"/>
        <s v="Liverpool - Playa del Carmen - FV + AMP"/>
        <s v="Liverpool - Salamanca - FV"/>
        <s v="Liverpool - San Miguel de Allende - FV"/>
        <s v="Liverpool - Veracruz El Dorado - FV"/>
        <s v="Liverpool - Zamora - FV"/>
        <s v="Liverpool - CAT Morelia - FV"/>
        <s v="Frialsa - CAC - Aguascalientes - FV"/>
        <s v="Frialsa - CAC - Cuautitlán - FV"/>
        <s v="Frialsa - CAC - Guadalajara I - FV + Ampliación"/>
        <s v="Frialsa - CAC - Zamora - FV"/>
        <s v="Frialsa - CAC Querétaro - FV"/>
        <s v="Frialsa - Cancún - FV"/>
        <s v="Frialsa - CD Obregón - FV"/>
        <s v="Frialsa - Guadalajara II - FV"/>
        <s v="Frialsa - Irapuato - FV"/>
        <s v="Frialsa - Laguna - FV"/>
        <s v="Frialsa - Monterrey I Santa Rosa - FV + AMP"/>
        <s v="Frialsa - Monterrey II San Nicolás - FV"/>
        <s v="Frialsa - Ocoyoacac - FV + AMP"/>
        <s v="Frialsa - San Martín Obispo - FV"/>
        <s v="Frialsa - Tepeji - FV + AMP"/>
        <s v="Frialsa - Tijuana - FV +AMP"/>
        <s v="Frialsa - Tlalnepantla - FV"/>
        <s v="Frialsa - Tula Atitalaquia - FV"/>
        <s v="Frialsa - Villagrán I - FV"/>
        <s v="Frialsa - Villagrán II - FV"/>
        <s v="Frialsa - Zamora II - FV + AMP"/>
        <s v="Mondelez - Puebla - FV"/>
        <s v="Mondelez - Ricolino - Toluca - FV"/>
        <s v="Faurecia - Puebla - FV"/>
        <s v="ZF Group - ZF Monterrey R&amp;D (Eurofren) - FV"/>
        <s v="Bio Pappel - Chihuahua - FV"/>
        <s v="Liverpool - Fresnillo - FV"/>
        <s v="Liverpool - Tepeyac - FV"/>
        <s v="Liverpool - Mérida -STO"/>
        <s v="Liverpool - Cd Victoria - FV"/>
        <s v="Liverpool - Puebla Angelópolis - STO"/>
        <s v="Liverpool - Tlaxcala - FV"/>
        <s v="Liverpool - Atlixco - FV"/>
        <s v="Liverpool - Toluca - FV"/>
        <s v="Liverpool - Tampico Altama - FV"/>
        <s v="Boehringer - Xochimilco - FV"/>
        <s v="Boehringer - Ingelheim México - STO"/>
        <s v="Liverpool - Xalapa Crystal - FV"/>
        <s v="Liverpool - Galerías Hermosillo - FV"/>
        <s v="Liverpool - Insurgentes - FV"/>
        <s v="Liverpool - Tlalnepantla - FV"/>
        <s v="Grupo Diestra - Marriot Aguascalientes - STO"/>
        <s v="Grupo Diestra - Marriot Tuxtla - STO"/>
        <s v="Grupo Diestra - Marriot Villahermosa - STO"/>
        <s v="Grupo Diestra - Emporio Veracruz - STO"/>
        <s v="Grupo Diestra - Marriot Santa Fe - STO"/>
        <s v="Grupo Diestra - Emporio Ixtapa - STO"/>
        <s v="Grupo Diestra - Emporio Acapulco - STO"/>
        <s v="Grupo Diestra - Emporio Cancún - STO"/>
        <s v="Grupo Diestra - Renaissance Cancún - STO"/>
        <s v="Grupo Diestra - Marriot Aguascalientes - FV"/>
        <s v="Grupo Diestra - Marriot Tuxtla - FV"/>
        <s v="Grupo Diestra - Marriot Villahermosa - FV"/>
        <s v="Grupo Diestra - Emporio Veracruz - FV"/>
        <s v="Grupo Diestra - Marriot Santa Fe - FV"/>
        <s v="Grupo Diestra - Emporio Ixtapa - FV"/>
        <s v="Grupo Diestra - Emporio Acapulco - FV"/>
        <s v="Grupo Diestra - Emporio Cancún - FV"/>
        <s v="Grupo Diestra - Renaissance Cancún - FV"/>
        <s v="Grupo Diestra - Marriott Cabos - FV"/>
        <s v="Sabormex - Puebla - FV"/>
        <s v="Liverpool - Torreón - FV"/>
        <m/>
      </sharedItems>
    </cacheField>
    <cacheField name="Cliente" numFmtId="0">
      <sharedItems containsBlank="1">
        <s v="NZF"/>
        <s v="Auto Todo"/>
        <s v="Banco de Alimentos"/>
        <s v="Liverpool"/>
        <s v="Frialsa"/>
        <s v="Mondelez"/>
        <s v="Faurecia"/>
        <s v="ZF Group"/>
        <s v="Bio Pappel"/>
        <s v="Boehringer"/>
        <s v="Grupo Diestra"/>
        <s v="Sabormex"/>
        <m/>
      </sharedItems>
    </cacheField>
    <cacheField name="PROJ Instalaciones" numFmtId="164">
      <sharedItems containsString="0" containsBlank="1" containsNumber="1" containsInteger="1">
        <n v="238.0"/>
        <n v="210.0"/>
        <n v="205.0"/>
        <n v="177.0"/>
        <n v="186.0"/>
        <n v="146.0"/>
        <n v="214.0"/>
        <n v="208.0"/>
        <n v="173.0"/>
        <n v="244.0"/>
        <n v="138.0"/>
        <n v="149.0"/>
        <m/>
        <n v="164.0"/>
        <n v="658.0"/>
        <n v="569.0"/>
        <n v="665.0"/>
        <n v="671.0"/>
        <n v="870.0"/>
        <n v="560.0"/>
        <n v="561.0"/>
        <n v="731.0"/>
        <n v="784.0"/>
        <n v="779.0"/>
        <n v="761.0"/>
        <n v="780.0"/>
        <n v="778.0"/>
        <n v="797.0"/>
        <n v="776.0"/>
        <n v="764.0"/>
        <n v="769.0"/>
        <n v="782.0"/>
        <n v="746.0"/>
        <n v="745.0"/>
        <n v="806.0"/>
        <n v="818.0"/>
        <n v="840.0"/>
        <n v="862.0"/>
        <n v="850.0"/>
        <n v="158.0"/>
        <n v="160.0"/>
        <n v="153.0"/>
        <n v="163.0"/>
        <n v="204.0"/>
        <n v="221.0"/>
        <n v="129.0"/>
        <n v="184.0"/>
        <n v="243.0"/>
        <n v="135.0"/>
        <n v="166.0"/>
        <n v="222.0"/>
        <n v="155.0"/>
        <n v="183.0"/>
        <n v="757.0"/>
        <n v="859.0"/>
        <n v="133.0"/>
        <n v="223.0"/>
        <n v="233.0"/>
        <n v="206.0"/>
        <n v="843.0"/>
        <n v="759.0"/>
        <n v="752.0"/>
        <n v="754.0"/>
        <n v="170.0"/>
        <n v="157.0"/>
        <n v="147.0"/>
        <n v="240.0"/>
        <n v="609.0"/>
        <n v="187.0"/>
        <n v="610.0"/>
        <n v="182.0"/>
        <n v="216.0"/>
        <n v="194.0"/>
        <n v="217.0"/>
        <n v="213.0"/>
        <n v="178.0"/>
        <n v="231.0"/>
        <n v="134.0"/>
        <n v="638.0"/>
        <n v="639.0"/>
        <n v="640.0"/>
        <n v="641.0"/>
        <n v="642.0"/>
        <n v="643.0"/>
        <n v="644.0"/>
        <n v="645.0"/>
        <n v="646.0"/>
        <n v="628.0"/>
        <n v="629.0"/>
        <n v="630.0"/>
        <n v="631.0"/>
        <n v="632.0"/>
        <n v="633.0"/>
        <n v="634.0"/>
        <n v="635.0"/>
        <n v="636.0"/>
        <n v="637.0"/>
        <n v="169.0"/>
      </sharedItems>
    </cacheField>
    <cacheField name="PROJ&#10;O&amp;M" numFmtId="164">
      <sharedItems containsString="0" containsBlank="1" containsNumber="1" containsInteger="1">
        <n v="708.0"/>
        <n v="738.0"/>
        <n v="492.0"/>
        <n v="876.0"/>
        <n v="874.0"/>
        <n v="703.0"/>
        <n v="711.0"/>
        <n v="709.0"/>
        <m/>
        <n v="710.0"/>
        <n v="879.0"/>
        <n v="739.0"/>
        <n v="875.0"/>
        <n v="891.0"/>
        <n v="892.0"/>
        <n v="511.0"/>
        <n v="397.0"/>
        <n v="308.0"/>
        <n v="820.0"/>
        <n v="526.0"/>
        <n v="315.0"/>
        <n v="689.0"/>
        <n v="364.0"/>
        <n v="338.0"/>
        <n v="819.0"/>
        <n v="544.0"/>
        <n v="253.0"/>
        <n v="792.0"/>
        <n v="307.0"/>
        <n v="452.0"/>
        <n v="515.0"/>
        <n v="539.0"/>
        <n v="454.0"/>
        <n v="413.0"/>
        <n v="414.0"/>
        <n v="229.0"/>
        <n v="335.0"/>
        <n v="293.0"/>
        <n v="297.0"/>
        <n v="298.0"/>
        <n v="410.0"/>
        <n v="294.0"/>
        <n v="296.0"/>
        <n v="887.0"/>
        <n v="331.0"/>
        <n v="330.0"/>
        <n v="336.0"/>
        <n v="373.0"/>
        <n v="804.0"/>
        <n v="324.0"/>
        <n v="748.0"/>
        <n v="375.0"/>
        <n v="826.0"/>
        <n v="822.0"/>
        <n v="724.0"/>
        <n v="821.0"/>
        <n v="723.0"/>
        <n v="831.0"/>
        <n v="824.0"/>
        <n v="825.0"/>
        <n v="832.0"/>
        <n v="833.0"/>
        <n v="835.0"/>
        <n v="829.0"/>
        <n v="901.0"/>
        <n v="950.0"/>
        <n v="287.0"/>
        <n v="827.0"/>
      </sharedItems>
    </cacheField>
    <cacheField name="Capacidad fotovoltaica instalada (kWp)" numFmtId="4">
      <sharedItems containsString="0" containsBlank="1" containsNumber="1">
        <n v="624.8000000000001"/>
        <n v="255.94499999999996"/>
        <n v="567.8"/>
        <n v="623.8000000000001"/>
        <n v="624.9"/>
        <n v="494.94"/>
        <n v="386.5"/>
        <n v="554.3000000000001"/>
        <n v="561.61"/>
        <n v="299.8"/>
        <n v="489.0"/>
        <n v="621.0"/>
        <m/>
        <n v="844.7"/>
        <n v="847.5"/>
        <n v="844.675"/>
        <n v="845.185"/>
        <n v="844.58"/>
        <n v="845.0"/>
        <n v="436.0"/>
        <n v="705.0"/>
        <n v="180.0"/>
        <n v="630.0"/>
        <n v="780.0"/>
        <n v="440.0"/>
        <n v="98.82"/>
        <n v="189.2"/>
        <n v="274.86"/>
        <n v="566.5"/>
        <n v="624.8"/>
        <n v="499.5"/>
        <n v="624.88"/>
        <n v="245.3"/>
        <n v="503.25"/>
        <n v="499.77"/>
        <n v="499.98"/>
        <n v="624.91"/>
        <n v="498.96"/>
        <n v="624.24"/>
        <n v="625.93"/>
        <n v="624.83"/>
        <n v="363.09"/>
        <n v="481.26"/>
        <n v="499.95"/>
        <n v="284.36"/>
        <n v="499.74"/>
        <n v="499.84"/>
        <n v="390.5"/>
        <n v="620.4"/>
        <n v="471.9"/>
        <n v="585.75"/>
        <n v="612.85"/>
        <n v="343.75"/>
        <n v="563.75"/>
        <n v="404.8"/>
        <n v="477.95"/>
        <n v="420.9"/>
        <n v="206.47"/>
        <n v="260.04"/>
        <n v="500.0"/>
        <n v="4.6"/>
        <n v="26.27"/>
        <n v="93.5"/>
        <n v="183.7"/>
        <n v="19.8"/>
        <n v="399.63"/>
        <n v="628.4"/>
      </sharedItems>
    </cacheField>
    <cacheField name="Capacidad BESS instalada (kW)" numFmtId="0">
      <sharedItems containsString="0" containsBlank="1" containsNumber="1">
        <m/>
        <n v="500.0"/>
        <n v="3130.0"/>
        <n v="2556.0"/>
        <n v="1000.0"/>
        <n v="4373.0"/>
        <n v="1375.0"/>
        <n v="2752.0"/>
        <n v="537.5"/>
        <n v="490.0"/>
        <n v="322.5"/>
        <n v="1075.0"/>
      </sharedItems>
    </cacheField>
    <cacheField name="Zona" numFmtId="0">
      <sharedItems containsBlank="1">
        <s v="Occidente"/>
        <s v="Centro"/>
        <s v="Norte"/>
        <s v="Sur"/>
        <m/>
      </sharedItems>
    </cacheField>
    <cacheField name="Supervisor" numFmtId="0">
      <sharedItems containsBlank="1">
        <s v="Santiago Medina"/>
        <s v="Sebastián Castillo"/>
        <s v="Gustavo Chavez"/>
        <s v="Melissa Solorio"/>
        <s v="Ángel Corona"/>
        <s v="Uriel Tamayo"/>
        <s v="Erick Fermin"/>
        <s v="Adolfo Jaspersen"/>
        <m/>
      </sharedItems>
    </cacheField>
    <cacheField name="Fecha de puesta en marcha ">
      <sharedItems containsDate="1" containsBlank="1" containsMixedTypes="1">
        <d v="2024-02-25T00:00:00Z"/>
        <d v="2024-10-09T00:00:00Z"/>
        <n v="-620132.0"/>
        <d v="2025-05-21T00:00:00Z"/>
        <d v="2025-06-06T00:00:00Z"/>
        <d v="2024-10-14T00:00:00Z"/>
        <d v="2024-11-14T00:00:00Z"/>
        <d v="2024-11-11T00:00:00Z"/>
        <d v="2026-01-31T00:00:00Z"/>
        <d v="2025-01-01T00:00:00Z"/>
        <s v="Sin encendido"/>
        <d v="2025-08-31T00:00:00Z"/>
        <d v="2026-01-25T00:00:00Z"/>
        <d v="2024-12-04T00:00:00Z"/>
        <d v="2025-04-29T00:00:00Z"/>
        <d v="2025-07-12T00:00:00Z"/>
        <d v="2025-10-06T00:00:00Z"/>
        <d v="2026-01-29T00:00:00Z"/>
        <d v="2026-04-24T00:00:00Z"/>
        <d v="2026-01-19T00:00:00Z"/>
        <d v="2025-12-01T00:00:00Z"/>
        <m/>
        <d v="2022-03-09T00:00:00Z"/>
        <s v="30/11/2023"/>
        <d v="2023-06-06T00:00:00Z"/>
        <d v="2024-05-09T00:00:00Z"/>
        <s v="26/09/2023"/>
        <d v="2023-09-03T00:00:00Z"/>
        <d v="2024-06-06T00:00:00Z"/>
        <s v="19/05/2023"/>
        <d v="2023-12-05T00:00:00Z"/>
        <s v="25/09/2024"/>
        <s v="28/11/2023"/>
        <s v="23/05/2023"/>
        <s v="28/03/2024"/>
        <s v="21/02/2024"/>
        <s v="19/10/2020"/>
        <d v="2020-09-07T00:00:00Z"/>
        <d v="2020-04-05T00:00:00Z"/>
        <d v="2020-07-05T00:00:00Z"/>
        <d v="2020-10-12T00:00:00Z"/>
        <d v="2020-06-05T00:00:00Z"/>
        <s v="30/05/2023"/>
        <d v="2020-01-07T00:00:00Z"/>
        <s v="22/08/2020"/>
        <d v="2020-10-09T00:00:00Z"/>
        <d v="2020-02-05T00:00:00Z"/>
        <d v="2020-11-07T00:00:00Z"/>
        <s v="18/04/2021"/>
        <s v="30/04/2021"/>
        <d v="2020-04-07T00:00:00Z"/>
        <d v="2021-05-02T00:00:00Z"/>
        <s v="21/08/2020"/>
        <s v="20/09/2020"/>
        <s v="15/08/2020"/>
        <d v="2024-02-04T00:00:00Z"/>
        <d v="2019-03-19T00:00:00Z"/>
        <s v="16/02/2021"/>
        <d v="2024-09-12T00:00:00Z"/>
        <d v="2023-06-01T00:00:00Z"/>
        <d v="2025-02-28T00:00:00Z"/>
        <d v="2025-05-19T00:00:00Z"/>
        <d v="2025-01-06T00:00:00Z"/>
        <s v="18/08/2025"/>
        <s v="21/01/2026"/>
        <d v="2025-05-11T00:00:00Z"/>
        <d v="2025-12-07T00:00:00Z"/>
        <d v="2025-02-11T00:00:00Z"/>
        <s v="15/10/2025"/>
        <s v="17/02/2026"/>
        <s v="26/01/2026"/>
        <d v="2025-04-12T00:00:00Z"/>
        <d v="2026-12-02T00:00:00Z"/>
        <d v="2026-11-02T00:00:00Z"/>
        <s v="25/01/2026"/>
        <s v="19/12/2025"/>
        <s v="13/02/2026"/>
        <s v="29/08/2025"/>
        <d v="2020-02-07T00:00:00Z"/>
        <d v="2025-01-04T00:00:00Z"/>
      </sharedItems>
    </cacheField>
    <cacheField name="Estatus de proyecto" numFmtId="0">
      <sharedItems containsBlank="1">
        <s v="Encendido"/>
        <s v="Adecuaciones de NC"/>
        <m/>
        <s v="En construcción"/>
      </sharedItems>
    </cacheField>
    <cacheField name="Estatus de pase de cuenta" numFmtId="0">
      <sharedItems containsBlank="1">
        <s v="Con pase de cuenta"/>
        <m/>
        <s v="Sin inspección de calidad"/>
        <s v="Sin pase de cuenta"/>
      </sharedItems>
    </cacheField>
    <cacheField name="Estatus de la poliza " numFmtId="0">
      <sharedItems>
        <s v="Vigente"/>
        <s v="Vencida"/>
        <s v=""/>
        <s v="Próxima a vencer"/>
        <s v="Vencimiento reciente"/>
      </sharedItems>
    </cacheField>
    <cacheField name="Costo de proveedor por kWh" numFmtId="0">
      <sharedItems containsString="0" containsBlank="1" containsNumber="1" containsInteger="1">
        <m/>
        <n v="90.0"/>
        <n v="78.0"/>
      </sharedItems>
    </cacheField>
    <cacheField name="Fecha de pase de cuenta" numFmtId="0">
      <sharedItems containsString="0" containsBlank="1">
        <m/>
      </sharedItems>
    </cacheField>
    <cacheField name="Tiempo de pase de cuenta" numFmtId="0">
      <sharedItems containsString="0" containsBlank="1">
        <m/>
      </sharedItems>
    </cacheField>
    <cacheField name="Inicio de poliza" numFmtId="166">
      <sharedItems containsDate="1" containsString="0" containsBlank="1">
        <d v="2026-02-27T00:00:00Z"/>
        <d v="2025-10-10T00:00:00Z"/>
        <d v="2025-04-08T00:00:00Z"/>
        <m/>
        <d v="2025-06-25T00:00:00Z"/>
        <d v="2025-02-18T00:00:00Z"/>
        <d v="2025-12-04T00:00:00Z"/>
        <d v="2026-01-27T00:00:00Z"/>
        <d v="2025-12-31T00:00:00Z"/>
        <d v="2026-01-12T00:00:00Z"/>
        <d v="2025-06-06T00:00:00Z"/>
        <d v="2026-02-19T00:00:00Z"/>
        <d v="2025-09-25T00:00:00Z"/>
        <d v="2026-03-09T00:00:00Z"/>
        <d v="2025-05-19T00:00:00Z"/>
        <d v="2025-05-23T00:00:00Z"/>
        <d v="2025-09-26T00:00:00Z"/>
        <d v="2025-11-28T00:00:00Z"/>
        <d v="2026-03-28T00:00:00Z"/>
        <d v="2026-02-21T00:00:00Z"/>
        <d v="2025-06-11T00:00:00Z"/>
        <d v="2026-02-18T00:00:00Z"/>
        <d v="2025-06-24T00:00:00Z"/>
        <d v="2025-03-20T00:00:00Z"/>
        <d v="2025-06-28T00:00:00Z"/>
      </sharedItems>
    </cacheField>
    <cacheField name="Fin de Poliza " numFmtId="166">
      <sharedItems containsDate="1" containsString="0" containsBlank="1">
        <d v="2027-02-26T00:00:00Z"/>
        <d v="2026-10-09T00:00:00Z"/>
        <d v="2026-04-07T00:00:00Z"/>
        <m/>
        <d v="2026-06-24T00:00:00Z"/>
        <d v="2026-02-17T00:00:00Z"/>
        <d v="2026-12-03T00:00:00Z"/>
        <d v="2027-01-26T00:00:00Z"/>
        <d v="2026-12-30T00:00:00Z"/>
        <d v="2027-01-11T00:00:00Z"/>
        <d v="2026-06-05T00:00:00Z"/>
        <d v="2027-02-18T00:00:00Z"/>
        <d v="2026-09-26T00:00:00Z"/>
        <d v="2027-03-08T00:00:00Z"/>
        <d v="2026-05-18T00:00:00Z"/>
        <d v="2026-05-22T00:00:00Z"/>
        <d v="2026-09-25T00:00:00Z"/>
        <d v="2026-11-27T00:00:00Z"/>
        <d v="2027-03-27T00:00:00Z"/>
        <d v="2027-02-20T00:00:00Z"/>
        <d v="2026-06-10T00:00:00Z"/>
        <d v="2027-02-17T00:00:00Z"/>
        <d v="2026-02-07T00:00:00Z"/>
        <d v="2026-06-25T00:00:00Z"/>
        <d v="2026-03-20T00:00:00Z"/>
        <d v="2026-06-27T00:00:00Z"/>
      </sharedItems>
    </cacheField>
    <cacheField name="Duración de la poliza en años">
      <sharedItems containsMixedTypes="1" containsNumber="1" containsInteger="1">
        <n v="1.0"/>
        <s v=" "/>
        <n v="0.0"/>
      </sharedItems>
    </cacheField>
    <cacheField name="Mes programado del servicio" numFmtId="167">
      <sharedItems containsDate="1" containsString="0" containsBlank="1">
        <d v="2026-01-01T00:00:00Z"/>
        <d v="2026-02-01T00:00:00Z"/>
        <m/>
        <d v="2025-12-01T00:00:00Z"/>
        <d v="2026-03-01T00:00:00Z"/>
      </sharedItems>
    </cacheField>
    <cacheField name="Fecha de programación de ejecición" numFmtId="168">
      <sharedItems containsDate="1" containsString="0" containsBlank="1">
        <d v="2026-01-13T00:00:00Z"/>
        <d v="2026-01-08T00:00:00Z"/>
        <d v="2026-02-10T00:00:00Z"/>
        <d v="2026-03-14T00:00:00Z"/>
        <m/>
        <d v="2025-12-19T00:00:00Z"/>
        <d v="2026-02-27T00:00:00Z"/>
        <d v="2026-03-02T00:00:00Z"/>
        <d v="2026-01-23T00:00:00Z"/>
        <d v="2026-01-26T00:00:00Z"/>
        <d v="2026-03-09T00:00:00Z"/>
        <d v="2026-03-11T00:00:00Z"/>
        <d v="2026-03-17T00:00:00Z"/>
        <d v="2026-01-20T00:00:00Z"/>
        <d v="2026-02-16T00:00:00Z"/>
        <d v="2026-02-07T00:00:00Z"/>
        <d v="2026-03-10T00:00:00Z"/>
        <d v="2026-01-19T00:00:00Z"/>
        <d v="2026-02-09T00:00:00Z"/>
        <d v="2026-02-03T00:00:00Z"/>
        <d v="2026-03-23T00:00:00Z"/>
        <d v="2026-03-31T00:00:00Z"/>
      </sharedItems>
    </cacheField>
    <cacheField name="Fecha real de inicio de ejecución " numFmtId="168">
      <sharedItems containsDate="1" containsString="0" containsBlank="1">
        <d v="2026-01-13T00:00:00Z"/>
        <d v="2026-01-08T00:00:00Z"/>
        <d v="2026-02-10T00:00:00Z"/>
        <m/>
        <d v="2025-12-19T00:00:00Z"/>
        <d v="2026-02-27T00:00:00Z"/>
        <d v="2026-03-02T00:00:00Z"/>
        <d v="2026-01-23T00:00:00Z"/>
        <d v="2026-01-26T00:00:00Z"/>
        <d v="2026-03-09T00:00:00Z"/>
        <d v="2026-03-11T00:00:00Z"/>
        <d v="2026-03-17T00:00:00Z"/>
        <d v="2026-01-20T00:00:00Z"/>
        <d v="2026-02-16T00:00:00Z"/>
        <d v="2026-02-07T00:00:00Z"/>
        <d v="2026-03-10T00:00:00Z"/>
        <d v="2026-01-19T00:00:00Z"/>
        <d v="2026-02-09T00:00:00Z"/>
        <d v="2026-02-03T00:00:00Z"/>
        <d v="2026-03-23T00:00:00Z"/>
        <d v="2026-03-31T00:00:00Z"/>
      </sharedItems>
    </cacheField>
    <cacheField name="Fecha real de fin de ejecución " numFmtId="168">
      <sharedItems containsDate="1" containsString="0" containsBlank="1">
        <d v="2026-01-16T00:00:00Z"/>
        <d v="2026-01-12T00:00:00Z"/>
        <d v="2026-02-14T00:00:00Z"/>
        <m/>
        <d v="2025-12-22T00:00:00Z"/>
        <d v="2026-03-04T00:00:00Z"/>
        <d v="2026-02-13T00:00:00Z"/>
        <d v="2026-03-06T00:00:00Z"/>
        <d v="2026-01-14T00:00:00Z"/>
        <d v="2026-01-26T00:00:00Z"/>
        <d v="2026-01-30T00:00:00Z"/>
        <d v="2026-03-10T00:00:00Z"/>
        <d v="2026-03-12T00:00:00Z"/>
        <d v="2026-03-18T00:00:00Z"/>
        <d v="2026-01-23T00:00:00Z"/>
        <d v="2026-02-19T00:00:00Z"/>
        <d v="2026-02-09T00:00:00Z"/>
        <d v="2026-01-21T00:00:00Z"/>
        <d v="2026-02-07T00:00:00Z"/>
        <d v="2026-01-29T00:00:00Z"/>
        <d v="2026-03-28T00:00:00Z"/>
        <d v="2026-03-21T00:00:00Z"/>
        <d v="2026-03-27T00:00:00Z"/>
        <d v="2026-04-03T00:00:00Z"/>
      </sharedItems>
    </cacheField>
    <cacheField name="Duración del Mantenimiento " numFmtId="0">
      <sharedItems containsSemiMixedTypes="0" containsString="0" containsNumber="1" containsInteger="1">
        <n v="3.0"/>
        <n v="4.0"/>
        <n v="0.0"/>
        <n v="5.0"/>
        <n v="1.0"/>
        <n v="2.0"/>
      </sharedItems>
    </cacheField>
    <cacheField name="Fecha de entrega de reporte" numFmtId="168">
      <sharedItems containsDate="1" containsString="0" containsBlank="1">
        <d v="2026-01-19T00:00:00Z"/>
        <d v="2026-01-17T00:00:00Z"/>
        <d v="2026-02-16T00:00:00Z"/>
        <m/>
        <d v="2025-12-26T00:00:00Z"/>
        <d v="2026-03-09T00:00:00Z"/>
        <d v="2026-02-17T00:00:00Z"/>
        <d v="2026-01-20T00:00:00Z"/>
        <d v="2026-02-15T00:00:00Z"/>
        <d v="2026-01-29T00:00:00Z"/>
        <d v="2026-02-02T00:00:00Z"/>
        <d v="2026-03-13T00:00:00Z"/>
        <d v="2026-03-17T00:00:00Z"/>
        <d v="2026-03-30T00:00:00Z"/>
        <d v="2026-03-10T00:00:00Z"/>
        <d v="2026-03-16T00:00:00Z"/>
        <d v="2026-01-27T00:00:00Z"/>
        <d v="2026-02-25T00:00:00Z"/>
        <d v="2026-03-15T00:00:00Z"/>
        <d v="2026-01-24T00:00:00Z"/>
        <d v="2026-02-11T00:00:00Z"/>
        <d v="2026-02-03T00:00:00Z"/>
        <d v="2026-03-24T00:00:00Z"/>
      </sharedItems>
    </cacheField>
    <cacheField name="Tiempo de entrega de reporte" numFmtId="0">
      <sharedItems containsSemiMixedTypes="0" containsString="0" containsNumber="1" containsInteger="1">
        <n v="3.0"/>
        <n v="5.0"/>
        <n v="2.0"/>
        <n v="0.0"/>
        <n v="4.0"/>
        <n v="6.0"/>
        <n v="12.0"/>
        <n v="7.0"/>
        <n v="-46115.0"/>
      </sharedItems>
    </cacheField>
    <cacheField name="Comentarios Q1 2026" numFmtId="0">
      <sharedItems containsString="0" containsBlank="1">
        <m/>
      </sharedItems>
    </cacheField>
    <cacheField name="Se ejecuto en el mes programado" numFmtId="0">
      <sharedItems containsBlank="1">
        <s v="Si"/>
        <m/>
      </sharedItems>
    </cacheField>
    <cacheField name="Se ejecuto en la fecha programada" numFmtId="0">
      <sharedItems containsBlank="1">
        <s v="Si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3:G125" sheet="Programación preventiva 2026"/>
  </cacheSource>
  <cacheFields>
    <cacheField name="Nombre de sitio " numFmtId="0">
      <sharedItems>
        <s v="Waldaschaff Automotive | León SFV 2252"/>
        <s v="Legrand | LEGRAND BTICINO Querétaro"/>
        <s v="Forvia | PUEBLA - MEX0420"/>
        <s v="Forvia | QUERETARO - MEX0425"/>
        <s v="Forvia | SAN LUIS POTOSI - MEX0430"/>
        <s v="Forvia | SILAO - MEX0432"/>
        <s v="Forvia | PUEBLA - MEX0739"/>
        <s v="Forvia | PUEBLA - MEX0821"/>
        <s v="Forvia | SAN LUIS POTOSI - MEX0967"/>
        <s v="Forvia | SAN JOSE ITURBIDE - MEX0968"/>
        <s v="Forvia | SAN LUIS POTOSI - MEX1007"/>
        <s v="Forvia | MONTERREY - MEX0940"/>
        <s v="Forvia | MONTERREY - MEX0940 NAVE II"/>
        <s v="Forvia | MONTERREY - MEX1535"/>
        <s v="MSA de México | Queretaro"/>
        <s v="Thyssenkrupp | Dynamics Components"/>
        <s v="American Specialized Textiles | Ámbar - vía 66"/>
        <s v="American Specialized Textiles | American Textil - vía 68"/>
        <s v="American Specialized Textiles | American Textil BEES - vía 68"/>
        <s v="Playa Hoteles | hotel Hyatt Ziva Cancún"/>
        <s v="Playa Hoteles | Hilton Playa del Carmen"/>
        <s v="Playa Hoteles | Wyndham Alltra Cancun"/>
        <s v="Playa Hoteles | Hyatt Zilara Cancun"/>
        <s v="Antex | Tlaxcala"/>
        <s v="Legrand | Apodaca"/>
        <s v="Ediplast | Ediplast SFV"/>
        <s v="Ediplast | Ediplast BESS"/>
        <s v="Antex | Antex Tlaxcala 2"/>
        <s v="GG CABLES AND WIRES | CX2"/>
        <s v="GG CABLES AND WIRES | CX1"/>
        <s v="Eaton | Truck Compenentes"/>
        <s v="Eaton | Nogales"/>
        <s v="Eaton | TCP Motus"/>
        <s v="Eaton | ICD Frontera"/>
        <s v="Eaton | Curuscant"/>
        <s v="Eaton | Bussmann"/>
        <s v="Eaton | Eaton Filtration Reynosa"/>
        <s v="Eaton | Eaton Industries Reynosa"/>
        <s v="Eaton | Eaton Iztapalapa"/>
        <s v="Eaton | Eaton Juarez CPA"/>
        <s v="Eaton | Market Power Tijuana"/>
        <s v="Eaton | Market Souriau Tijuana"/>
        <s v="Eaton | Martek power reynosa"/>
        <s v="Eaton | Aguascalientes"/>
        <s v="Eaton | Aerospace Tijuana"/>
        <s v="Chanaust"/>
        <s v="MD Electronik"/>
        <s v="Auto Todo - Puebla - FV"/>
        <s v="Banco de Alimentos - FV"/>
        <s v="Liverpool - Chilpancingo - FV"/>
        <s v="Liverpool - Colima - FV"/>
        <s v="Liverpool - Guadalajara Galerías - FV"/>
        <s v="Liverpool - La Paz - FV"/>
        <s v="Liverpool - La Perla - FV"/>
        <s v="Liverpool - Mérida Cabo Norte - FV"/>
        <s v="Liverpool - Playa del Carmen - FV + AMP"/>
        <s v="Liverpool - Salamanca - FV"/>
        <s v="Liverpool - San Miguel de Allende - FV"/>
        <s v="Liverpool - Veracruz El Dorado - FV"/>
        <s v="Liverpool - Zamora - FV"/>
        <s v="Liverpool - CAT Morelia - FV"/>
        <s v="Frialsa - CAC - Aguascalientes - FV"/>
        <s v="Frialsa - CAC - Cuautitlán - FV"/>
        <s v="Frialsa - CAC - Guadalajara I - FV + Ampliación"/>
        <s v="Frialsa - CAC - Zamora - FV"/>
        <s v="Frialsa - CAC Querétaro - FV"/>
        <s v="Frialsa - Cancún - FV"/>
        <s v="Frialsa - CD Obregón - FV"/>
        <s v="Frialsa - Guadalajara II - FV"/>
        <s v="Frialsa - Irapuato - FV"/>
        <s v="Frialsa - Laguna - FV"/>
        <s v="Frialsa - Monterrey I Santa Rosa - FV + AMP"/>
        <s v="Frialsa - Monterrey II San Nicolás - FV"/>
        <s v="Frialsa - Ocoyoacac - FV + AMP"/>
        <s v="Frialsa - San Martín Obispo - FV"/>
        <s v="Frialsa - Tepeji - FV + AMP"/>
        <s v="Frialsa - Tijuana - FV +AMP"/>
        <s v="Frialsa - Tlalnepantla - FV"/>
        <s v="Frialsa - Tula Atitalaquia - FV"/>
        <s v="Frialsa - Villagrán I - FV"/>
        <s v="Frialsa - Villagrán II - FV"/>
        <s v="Frialsa - Zamora II - FV + AMP"/>
        <s v="Mondelez - Puebla - FV"/>
        <s v="Mondelez - Ricolino - Toluca - FV"/>
        <s v="Faurecia - Puebla - FV"/>
        <s v="ZF Group - ZF Monterrey R&amp;D (Eurofren) - FV"/>
        <s v="Bio Pappel - Chihuahua - FV"/>
        <s v="Liverpool - Fresnillo - FV"/>
        <s v="Liverpool - Tepeyac - FV"/>
        <s v="Liverpool - Mérida -STO"/>
        <s v="Liverpool - Cd Victoria - FV"/>
        <s v="Liverpool - Puebla Angelópolis - STO"/>
        <s v="Liverpool - Tlaxcala - FV"/>
        <s v="Liverpool - Atlixco - FV"/>
        <s v="Liverpool - Toluca - FV"/>
        <s v="Liverpool - Tampico Altama - FV"/>
        <s v="Boehringer - Xochimilco - FV"/>
        <s v="Boehringer - Ingelheim México - STO"/>
        <s v="Liverpool - Xalapa Crystal - FV"/>
        <s v="Liverpool - Galerías Hermosillo - FV"/>
        <s v="Liverpool - Insurgentes - FV"/>
        <s v="Liverpool - Tlalnepantla - FV"/>
        <s v="Grupo Diestra - Marriot Aguascalientes - STO"/>
        <s v="Grupo Diestra - Marriot Tuxtla - STO"/>
        <s v="Grupo Diestra - Marriot Villahermosa - STO"/>
        <s v="Grupo Diestra - Emporio Veracruz - STO"/>
        <s v="Grupo Diestra - Marriot Santa Fe - STO"/>
        <s v="Grupo Diestra - Emporio Ixtapa - STO"/>
        <s v="Grupo Diestra - Emporio Acapulco - STO"/>
        <s v="Grupo Diestra - Emporio Cancún - STO"/>
        <s v="Grupo Diestra - Renaissance Cancún - STO"/>
        <s v="Grupo Diestra - Marriot Aguascalientes - FV"/>
        <s v="Grupo Diestra - Marriot Tuxtla - FV"/>
        <s v="Grupo Diestra - Marriot Villahermosa - FV"/>
        <s v="Grupo Diestra - Emporio Veracruz - FV"/>
        <s v="Grupo Diestra - Marriot Santa Fe - FV"/>
        <s v="Grupo Diestra - Emporio Ixtapa - FV"/>
        <s v="Grupo Diestra - Emporio Acapulco - FV"/>
        <s v="Grupo Diestra - Emporio Cancún - FV"/>
        <s v="Grupo Diestra - Renaissance Cancún - FV"/>
        <s v="Grupo Diestra - Marriott Cabos - FV"/>
        <s v="Sabormex - Puebla - FV"/>
      </sharedItems>
    </cacheField>
    <cacheField name="Cliente" numFmtId="0">
      <sharedItems>
        <s v="NZF"/>
        <s v="Auto Todo"/>
        <s v="Banco de Alimentos"/>
        <s v="Liverpool"/>
        <s v="Frialsa"/>
        <s v="Mondelez"/>
        <s v="Faurecia"/>
        <s v="ZF Group"/>
        <s v="Bio Pappel"/>
        <s v="Boehringer"/>
        <s v="Grupo Diestra"/>
        <s v="Sabormex"/>
      </sharedItems>
    </cacheField>
    <cacheField name="PROJ Instalaciones" numFmtId="164">
      <sharedItems containsString="0" containsBlank="1" containsNumber="1" containsInteger="1">
        <n v="238.0"/>
        <n v="210.0"/>
        <n v="205.0"/>
        <n v="177.0"/>
        <n v="186.0"/>
        <n v="146.0"/>
        <n v="214.0"/>
        <n v="208.0"/>
        <n v="173.0"/>
        <n v="244.0"/>
        <n v="138.0"/>
        <n v="149.0"/>
        <m/>
        <n v="164.0"/>
        <n v="658.0"/>
        <n v="569.0"/>
        <n v="665.0"/>
        <n v="671.0"/>
        <n v="870.0"/>
        <n v="560.0"/>
        <n v="561.0"/>
        <n v="731.0"/>
        <n v="784.0"/>
        <n v="779.0"/>
        <n v="761.0"/>
        <n v="780.0"/>
        <n v="778.0"/>
        <n v="797.0"/>
        <n v="776.0"/>
        <n v="764.0"/>
        <n v="769.0"/>
        <n v="782.0"/>
        <n v="746.0"/>
        <n v="745.0"/>
        <n v="806.0"/>
        <n v="818.0"/>
        <n v="840.0"/>
        <n v="862.0"/>
        <n v="850.0"/>
        <n v="158.0"/>
        <n v="160.0"/>
        <n v="153.0"/>
        <n v="163.0"/>
        <n v="204.0"/>
        <n v="221.0"/>
        <n v="129.0"/>
        <n v="184.0"/>
        <n v="243.0"/>
        <n v="135.0"/>
        <n v="166.0"/>
        <n v="222.0"/>
        <n v="155.0"/>
        <n v="183.0"/>
        <n v="757.0"/>
        <n v="859.0"/>
        <n v="133.0"/>
        <n v="223.0"/>
        <n v="233.0"/>
        <n v="206.0"/>
        <n v="843.0"/>
        <n v="759.0"/>
        <n v="752.0"/>
        <n v="754.0"/>
        <n v="170.0"/>
        <n v="157.0"/>
        <n v="147.0"/>
        <n v="240.0"/>
        <n v="609.0"/>
        <n v="187.0"/>
        <n v="610.0"/>
        <n v="182.0"/>
        <n v="216.0"/>
        <n v="194.0"/>
        <n v="217.0"/>
        <n v="213.0"/>
        <n v="178.0"/>
        <n v="231.0"/>
        <n v="134.0"/>
        <n v="638.0"/>
        <n v="639.0"/>
        <n v="640.0"/>
        <n v="641.0"/>
        <n v="642.0"/>
        <n v="643.0"/>
        <n v="644.0"/>
        <n v="645.0"/>
        <n v="646.0"/>
        <n v="628.0"/>
        <n v="629.0"/>
        <n v="630.0"/>
        <n v="631.0"/>
        <n v="632.0"/>
        <n v="633.0"/>
        <n v="634.0"/>
        <n v="635.0"/>
        <n v="636.0"/>
        <n v="637.0"/>
      </sharedItems>
    </cacheField>
    <cacheField name="PROJ&#10;O&amp;M" numFmtId="164">
      <sharedItems containsString="0" containsBlank="1" containsNumber="1" containsInteger="1">
        <n v="708.0"/>
        <n v="738.0"/>
        <n v="492.0"/>
        <n v="876.0"/>
        <n v="874.0"/>
        <n v="703.0"/>
        <n v="711.0"/>
        <n v="709.0"/>
        <m/>
        <n v="710.0"/>
        <n v="879.0"/>
        <n v="739.0"/>
        <n v="875.0"/>
        <n v="891.0"/>
        <n v="892.0"/>
        <n v="511.0"/>
        <n v="397.0"/>
        <n v="308.0"/>
        <n v="820.0"/>
        <n v="526.0"/>
        <n v="315.0"/>
        <n v="689.0"/>
        <n v="364.0"/>
        <n v="338.0"/>
        <n v="819.0"/>
        <n v="544.0"/>
        <n v="253.0"/>
        <n v="792.0"/>
        <n v="307.0"/>
        <n v="452.0"/>
        <n v="515.0"/>
        <n v="539.0"/>
        <n v="454.0"/>
        <n v="413.0"/>
        <n v="414.0"/>
        <n v="229.0"/>
        <n v="335.0"/>
        <n v="293.0"/>
        <n v="297.0"/>
        <n v="298.0"/>
        <n v="410.0"/>
        <n v="294.0"/>
        <n v="296.0"/>
        <n v="887.0"/>
        <n v="331.0"/>
        <n v="330.0"/>
        <n v="336.0"/>
        <n v="373.0"/>
        <n v="804.0"/>
        <n v="324.0"/>
        <n v="748.0"/>
        <n v="375.0"/>
        <n v="826.0"/>
        <n v="822.0"/>
        <n v="724.0"/>
        <n v="821.0"/>
        <n v="723.0"/>
        <n v="831.0"/>
        <n v="824.0"/>
        <n v="825.0"/>
        <n v="832.0"/>
        <n v="833.0"/>
        <n v="835.0"/>
        <n v="829.0"/>
        <n v="901.0"/>
        <n v="950.0"/>
        <n v="287.0"/>
      </sharedItems>
    </cacheField>
    <cacheField name="Capacidad fotovoltaica instalada (kWp)" numFmtId="4">
      <sharedItems containsString="0" containsBlank="1" containsNumber="1">
        <n v="624.8000000000001"/>
        <n v="255.94499999999996"/>
        <n v="567.8"/>
        <n v="623.8000000000001"/>
        <n v="624.9"/>
        <n v="494.94"/>
        <n v="386.5"/>
        <n v="554.3000000000001"/>
        <n v="561.61"/>
        <n v="299.8"/>
        <n v="489.0"/>
        <n v="621.0"/>
        <m/>
        <n v="844.7"/>
        <n v="847.5"/>
        <n v="844.675"/>
        <n v="845.185"/>
        <n v="844.58"/>
        <n v="845.0"/>
        <n v="436.0"/>
        <n v="705.0"/>
        <n v="180.0"/>
        <n v="630.0"/>
        <n v="780.0"/>
        <n v="440.0"/>
        <n v="98.82"/>
        <n v="189.2"/>
        <n v="274.86"/>
        <n v="566.5"/>
        <n v="624.8"/>
        <n v="499.5"/>
        <n v="624.88"/>
        <n v="245.3"/>
        <n v="503.25"/>
        <n v="499.77"/>
        <n v="499.98"/>
        <n v="624.91"/>
        <n v="498.96"/>
        <n v="624.24"/>
        <n v="625.93"/>
        <n v="624.83"/>
        <n v="363.09"/>
        <n v="481.26"/>
        <n v="499.95"/>
        <n v="284.36"/>
        <n v="499.74"/>
        <n v="499.84"/>
        <n v="390.5"/>
        <n v="620.4"/>
        <n v="471.9"/>
        <n v="585.75"/>
        <n v="612.85"/>
        <n v="343.75"/>
        <n v="563.75"/>
        <n v="404.8"/>
        <n v="477.95"/>
        <n v="420.9"/>
        <n v="206.47"/>
        <n v="260.04"/>
        <n v="500.0"/>
        <n v="4.6"/>
        <n v="26.27"/>
        <n v="93.5"/>
        <n v="183.7"/>
        <n v="19.8"/>
        <n v="399.63"/>
      </sharedItems>
    </cacheField>
    <cacheField name="Capacidad BESS instalada (kW)" numFmtId="0">
      <sharedItems containsString="0" containsBlank="1" containsNumber="1">
        <m/>
        <n v="500.0"/>
        <n v="3130.0"/>
        <n v="2556.0"/>
        <n v="1000.0"/>
        <n v="4373.0"/>
        <n v="1375.0"/>
        <n v="2752.0"/>
        <n v="537.5"/>
        <n v="490.0"/>
        <n v="322.5"/>
        <n v="107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Rasional supervisores" cacheId="0" dataCaption="" compact="0" compactData="0">
  <location ref="A3:C13" firstHeaderRow="0" firstDataRow="2" firstDataCol="0" rowPageCount="1" colPageCount="1"/>
  <pivotFields>
    <pivotField name="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Nombre de sitio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J Instalacion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PROJ&#10;O&amp;M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Capacidad fotovoltaica instalada (kWp)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Capacidad BESS instalada (kW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Zona" axis="axisPag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upervisor" axis="axisRow" compact="0" outline="0" multipleItemSelectionAllowed="1" showAll="0" sortType="ascending">
      <items>
        <item x="8"/>
        <item x="7"/>
        <item x="4"/>
        <item x="6"/>
        <item x="2"/>
        <item x="3"/>
        <item x="0"/>
        <item x="1"/>
        <item x="5"/>
        <item t="default"/>
      </items>
    </pivotField>
    <pivotField name="Fecha de puesta en marcha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Estatus de proyecto" compact="0" outline="0" multipleItemSelectionAllowed="1" showAll="0">
      <items>
        <item x="0"/>
        <item x="1"/>
        <item x="2"/>
        <item x="3"/>
        <item t="default"/>
      </items>
    </pivotField>
    <pivotField name="Estatus de pase de cuenta" compact="0" outline="0" multipleItemSelectionAllowed="1" showAll="0">
      <items>
        <item x="0"/>
        <item x="1"/>
        <item x="2"/>
        <item x="3"/>
        <item t="default"/>
      </items>
    </pivotField>
    <pivotField name="Estatus de la poliza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sto de proveedor por kWh" compact="0" outline="0" multipleItemSelectionAllowed="1" showAll="0">
      <items>
        <item x="0"/>
        <item x="1"/>
        <item x="2"/>
        <item t="default"/>
      </items>
    </pivotField>
    <pivotField name="Fecha de pase de cuenta" compact="0" outline="0" multipleItemSelectionAllowed="1" showAll="0">
      <items>
        <item x="0"/>
        <item t="default"/>
      </items>
    </pivotField>
    <pivotField name="Tiempo de pase de cuenta" compact="0" outline="0" multipleItemSelectionAllowed="1" showAll="0">
      <items>
        <item x="0"/>
        <item t="default"/>
      </items>
    </pivotField>
    <pivotField name="Inicio de poliz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Fin de Poliza 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Duración de la poliza en años" compact="0" outline="0" multipleItemSelectionAllowed="1" showAll="0">
      <items>
        <item x="0"/>
        <item x="1"/>
        <item x="2"/>
        <item t="default"/>
      </items>
    </pivotField>
    <pivotField name="Mes programado del servicio" dataField="1" compact="0" numFmtId="167" outline="0" multipleItemSelectionAllowed="1" showAll="0">
      <items>
        <item x="0"/>
        <item x="1"/>
        <item x="2"/>
        <item x="3"/>
        <item x="4"/>
        <item t="default"/>
      </items>
    </pivotField>
    <pivotField name="Fecha de programación de ejecición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Fecha real de inicio de ejecución 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Fecha real de fin de ejecución 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uración del Mantenimiento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echa de entrega de reporte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iempo de entrega de repor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omentarios Q1 2026" compact="0" outline="0" multipleItemSelectionAllowed="1" showAll="0">
      <items>
        <item x="0"/>
        <item t="default"/>
      </items>
    </pivotField>
    <pivotField name="Se ejecuto en el mes programado" compact="0" outline="0" multipleItemSelectionAllowed="1" showAll="0">
      <items>
        <item x="0"/>
        <item x="1"/>
        <item t="default"/>
      </items>
    </pivotField>
    <pivotField name="Se ejecuto en la fecha programada" compact="0" outline="0" multipleItemSelectionAllowed="1" showAll="0">
      <items>
        <item x="0"/>
        <item x="1"/>
        <item t="default"/>
      </items>
    </pivotField>
  </pivotFields>
  <rowFields>
    <field x="8"/>
  </rowFields>
  <colFields>
    <field x="-2"/>
  </colFields>
  <pageFields>
    <pageField fld="7"/>
  </pageFields>
  <dataFields>
    <dataField name="Sitios por supervisor" fld="1" subtotal="count" baseField="0"/>
    <dataField name="Servicios programados Q1" fld="19" subtotal="count" baseField="0"/>
  </dataFields>
</pivotTableDefinition>
</file>

<file path=xl/pivotTables/pivotTable2.xml><?xml version="1.0" encoding="utf-8"?>
<pivotTableDefinition xmlns="http://schemas.openxmlformats.org/spreadsheetml/2006/main" name="Hoja2" cacheId="1" dataCaption="" compact="0" compactData="0">
  <location ref="A3:C16" firstHeaderRow="0" firstDataRow="2" firstDataCol="0"/>
  <pivotFields>
    <pivotField name="Nombre de sitio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name="Cliente" axis="axisRow" compact="0" outline="0" multipleItemSelectionAllowed="1" showAll="0" sortType="ascending">
      <items>
        <item x="1"/>
        <item x="2"/>
        <item x="8"/>
        <item x="9"/>
        <item x="6"/>
        <item x="4"/>
        <item x="10"/>
        <item x="3"/>
        <item x="5"/>
        <item x="0"/>
        <item x="11"/>
        <item x="7"/>
        <item t="default"/>
      </items>
    </pivotField>
    <pivotField name="PROJ Instalacion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PROJ&#10;O&amp;M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Capacidad fotovoltaica instalada (kWp)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Capacidad BESS instalada (kW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"/>
  </rowFields>
  <colFields>
    <field x="-2"/>
  </colFields>
  <dataFields>
    <dataField name="Suma de Capacidad fotovoltaica instalada (kWp)" fld="4" baseField="0"/>
    <dataField name="Suma de Capacidad BESS instalada (kW)" fld="5" baseField="0"/>
  </dataFields>
</pivotTableDefinition>
</file>

<file path=xl/tables/table1.xml><?xml version="1.0" encoding="utf-8"?>
<table xmlns="http://schemas.openxmlformats.org/spreadsheetml/2006/main" ref="A3:AC186" displayName="Tabla_1" name="Tabla_1" id="1">
  <autoFilter ref="$A$3:$AC$186">
    <filterColumn colId="5">
      <filters>
        <filter val="499.98"/>
        <filter val="420.90"/>
        <filter val="554.30"/>
        <filter val="299.80"/>
        <filter val="624.24"/>
        <filter val="499.50"/>
        <filter val="386.50"/>
        <filter val="499.95"/>
        <filter val="363.09"/>
        <filter val="436.00"/>
        <filter val="98.82"/>
        <filter val="404.80"/>
        <filter val="612.85"/>
        <filter val="563.75"/>
        <filter val="844.58"/>
        <filter val="343.75"/>
        <filter val="705.00"/>
        <filter val="260.04"/>
        <filter val="847.50"/>
        <filter val="4.60"/>
        <filter val="471.90"/>
        <filter val="628.40"/>
        <filter val="499.84"/>
        <filter val="624.91"/>
        <filter val="623.80"/>
        <filter val="630.00"/>
        <filter val="489.00"/>
        <filter val="500.00"/>
        <filter val="567.80"/>
        <filter val="624.90"/>
        <filter val="19.80"/>
        <filter val="561.61"/>
        <filter val="844.68"/>
        <filter val="399.63"/>
        <filter val="245.30"/>
        <filter val="390.50"/>
        <filter val="499.77"/>
        <filter val="585.75"/>
        <filter val="624.88"/>
        <filter val="620.40"/>
        <filter val="844.70"/>
        <filter val="274.86"/>
        <filter val="481.26"/>
        <filter val="499.74"/>
        <filter val="624.83"/>
        <filter val="624.80"/>
        <filter val="625.93"/>
        <filter val="845.00"/>
        <filter val="440.00"/>
        <filter val="183.70"/>
        <filter val="503.25"/>
        <filter val="93.50"/>
        <filter val="780.00"/>
        <filter val="284.36"/>
        <filter val="498.96"/>
        <filter val="621.00"/>
        <filter val="477.95"/>
        <filter val="180.00"/>
        <filter val="255.95"/>
        <filter val="494.94"/>
        <filter val="206.47"/>
        <filter val="26.27"/>
        <filter val="189.20"/>
        <filter val="566.50"/>
        <filter val="845.19"/>
      </filters>
    </filterColumn>
  </autoFilter>
  <tableColumns count="29">
    <tableColumn name="#" id="1"/>
    <tableColumn name="Nombre de sitio " id="2"/>
    <tableColumn name="Cliente" id="3"/>
    <tableColumn name="PROJ Instalaciones" id="4"/>
    <tableColumn name="PROJ_x000a_O&amp;M" id="5"/>
    <tableColumn name="Capacidad fotovoltaica instalada (kWp)" id="6"/>
    <tableColumn name="Capacidad BESS instalada (kW)" id="7"/>
    <tableColumn name="Zona" id="8"/>
    <tableColumn name="Supervisor" id="9"/>
    <tableColumn name="Fecha de puesta en marcha " id="10"/>
    <tableColumn name="Estatus de proyecto" id="11"/>
    <tableColumn name="Estatus de pase de cuenta" id="12"/>
    <tableColumn name="Estatus de la poliza " id="13"/>
    <tableColumn name="Costo de proveedor por kWh" id="14"/>
    <tableColumn name="Fecha de pase de cuenta" id="15"/>
    <tableColumn name="Tiempo de pase de cuenta" id="16"/>
    <tableColumn name="Inicio de poliza" id="17"/>
    <tableColumn name="Fin de Poliza " id="18"/>
    <tableColumn name="Duración de la poliza en años" id="19"/>
    <tableColumn name="Mes programado del servicio" id="20"/>
    <tableColumn name="Fecha de programación de ejecición" id="21"/>
    <tableColumn name="Fecha real de inicio de ejecución " id="22"/>
    <tableColumn name="Fecha real de fin de ejecución " id="23"/>
    <tableColumn name="Duración del Mantenimiento " id="24"/>
    <tableColumn name="Fecha de entrega de reporte" id="25"/>
    <tableColumn name="Tiempo de entrega de reporte" id="26"/>
    <tableColumn name="Comentarios Q1 2026" id="27"/>
    <tableColumn name="Se ejecuto en el mes programado" id="28"/>
    <tableColumn name="Se ejecuto en la fecha programada" id="29"/>
  </tableColumns>
  <tableStyleInfo name="Programación preventiva 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W2" dT="2026-04-23T16:26:35.00" personId="{157a32fc-0908-443e-91af-1408f83def18}" id="{e84c61c2-e236-423c-8ef6-986a811f7d78}" done="0">
    <x18tc:text xml:space="preserve">SBLC prima</x18tc:text>
  </x18tc:threadedComment>
  <x18tc:threadedComment ref="D6" dT="2026-04-23T16:26:35.00" personId="{157a32fc-0908-443e-91af-1408f83def18}" id="{4b61ed5e-9a8e-429b-874a-dad5d6669710}" done="0">
    <x18tc:text xml:space="preserve">10/25/23
Currently not connected to model. Master switch for PPA extension in tab 'Summary&amp;Control' currently in use.</x18tc:text>
  </x18tc:threadedComment>
  <x18tc:threadedComment ref="BP8" dT="2026-04-23T16:26:34.00" personId="{157a32fc-0908-443e-91af-1408f83def18}" id="{192dea31-c916-4ade-9a04-9240ca47fc7a}" done="0">
    <x18tc:text xml:space="preserve">NA (10-year PPA, inverter replacement not considered)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05" dT="2026-05-27T04:34:42.00" personId="{e8405ef7-f3e0-4cef-a48f-7deb4695265c}" id="{8bf746d9-fb0c-4d25-93e7-1c31bc09ffab}" done="0">
    <x18tc:text xml:space="preserve">Revisar PROJ 830 del listado</x18tc:text>
  </x18tc:threadedComment>
  <x18tc:threadedComment ref="E62" dT="2026-05-27T05:47:56.00" personId="{e8405ef7-f3e0-4cef-a48f-7deb4695265c}" id="{eeb9d408-6f00-40e0-8af0-f131ae381cec}" done="0">
    <x18tc:text xml:space="preserve">PROJ - 834 - REVISAR</x18tc:text>
  </x18tc:threadedComment>
  <x18tc:threadedComment ref="E3" dT="2026-05-24T19:31:14.00" personId="{9cabb22e-17ad-4e26-ada0-b8579a70c838}" id="{0ce8860e-5788-4bc2-8a55-c7b3c5a8816f}" done="0">
    <x18tc:text xml:space="preserve">@yessica.estrada@enlight.mx
Asignada a yessica.estrada@enlight.mx</x18tc:text>
    <x18tc:mentions>
      <x18tc:mention mentionpersonId="{af8e8644-cdcc-4801-86c6-87105d81bb35}" mentionId="{bac35d5c-4ea8-4a58-ac3b-9f22eecb4f5c}" startIndex="0" length="27"/>
    </x18tc:mentions>
  </x18tc:threadedComment>
  <x18tc:threadedComment ref="J3" dT="2026-05-18T21:33:37.00" personId="{8f68b539-f9a3-4b6f-9243-d38a711b2a71}" id="{1a69c3ea-1673-40bb-a299-40ecef906d51}" done="0">
    <x18tc:text xml:space="preserve">@rolando.pineda@enlight.mx</x18tc:text>
    <x18tc:mentions>
      <x18tc:mention mentionpersonId="{58524f6d-082f-4907-b7fa-902191d08af1}" mentionId="{1a424fdd-d74d-4331-89de-c753f854e9b4}" startIndex="0" length="26"/>
    </x18tc:mentions>
  </x18tc:threadedComment>
  <x18tc:threadedComment ref="E6" dT="2026-05-27T06:13:41.00" personId="{e8405ef7-f3e0-4cef-a48f-7deb4695265c}" id="{5441b698-2ee2-430c-9e2a-6df7258b5cdc}" done="0">
    <x18tc:text xml:space="preserve">Revisar PROJ-740</x18tc:text>
  </x18tc:threadedComment>
  <x18tc:threadedComment ref="E12" dT="2026-05-27T06:15:02.00" personId="{e8405ef7-f3e0-4cef-a48f-7deb4695265c}" id="{ee30e96e-eb32-43cf-b591-f6cbece432e4}" done="0">
    <x18tc:text xml:space="preserve">Revisar PROJ-941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Relationship Id="rId7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CC"/>
    <outlinePr summaryBelow="0" summaryRight="0"/>
    <pageSetUpPr/>
  </sheetPr>
  <sheetViews>
    <sheetView showGridLines="0" workbookViewId="0">
      <pane xSplit="13.0" ySplit="7.0" topLeftCell="N8" activePane="bottomRight" state="frozen"/>
      <selection activeCell="N1" sqref="N1" pane="topRight"/>
      <selection activeCell="A8" sqref="A8" pane="bottomLeft"/>
      <selection activeCell="N8" sqref="N8" pane="bottomRight"/>
    </sheetView>
  </sheetViews>
  <sheetFormatPr customHeight="1" defaultColWidth="14.43" defaultRowHeight="15.0" outlineLevelCol="4" outlineLevelRow="1"/>
  <cols>
    <col customWidth="1" min="1" max="1" width="2.57"/>
    <col customWidth="1" min="2" max="4" width="10.57"/>
    <col customWidth="1" min="5" max="5" width="9.0"/>
    <col customWidth="1" min="6" max="6" width="9.0" outlineLevel="1"/>
    <col customWidth="1" min="7" max="7" width="12.57"/>
    <col customWidth="1" min="8" max="8" width="30.57"/>
    <col customWidth="1" min="9" max="9" width="10.57"/>
    <col customWidth="1" min="10" max="10" width="11.0"/>
    <col customWidth="1" hidden="1" min="11" max="11" width="15.57" outlineLevel="1"/>
    <col customWidth="1" min="12" max="12" width="12.0" outlineLevel="1"/>
    <col customWidth="1" min="13" max="13" width="30.57"/>
    <col customWidth="1" min="14" max="14" width="54.43"/>
    <col customWidth="1" min="15" max="15" width="20.57" outlineLevel="1"/>
    <col customWidth="1" min="16" max="18" width="11.57" outlineLevel="1"/>
    <col customWidth="1" min="19" max="22" width="12.57" outlineLevel="1"/>
    <col customWidth="1" min="23" max="34" width="12.57" outlineLevel="3"/>
    <col customWidth="1" min="35" max="46" width="12.57" outlineLevel="4"/>
    <col customWidth="1" min="47" max="49" width="12.57" outlineLevel="1"/>
    <col customWidth="1" min="50" max="50" width="15.57" outlineLevel="1"/>
    <col customWidth="1" min="51" max="52" width="12.57" outlineLevel="2"/>
    <col customWidth="1" min="53" max="53" width="14.57" outlineLevel="2"/>
    <col customWidth="1" min="54" max="58" width="12.57" outlineLevel="2"/>
    <col customWidth="1" min="59" max="67" width="12.57" outlineLevel="1"/>
    <col customWidth="1" min="68" max="69" width="15.57" outlineLevel="1"/>
    <col customWidth="1" min="70" max="71" width="14.57" outlineLevel="1"/>
    <col customWidth="1" min="72" max="73" width="12.57"/>
    <col customWidth="1" min="74" max="75" width="12.57" outlineLevel="1"/>
    <col customWidth="1" min="76" max="79" width="12.57"/>
    <col customWidth="1" min="80" max="84" width="12.57" outlineLevel="1"/>
    <col customWidth="1" min="85" max="89" width="12.57"/>
    <col customWidth="1" min="90" max="91" width="15.43"/>
    <col customWidth="1" min="92" max="92" width="12.57"/>
    <col customWidth="1" min="93" max="95" width="14.57"/>
    <col customWidth="1" min="96" max="96" width="16.57"/>
    <col customWidth="1" min="97" max="97" width="14.57"/>
    <col customWidth="1" min="98" max="99" width="8.57"/>
    <col customWidth="1" min="100" max="100" width="10.57"/>
    <col customWidth="1" min="101" max="102" width="8.57"/>
    <col customWidth="1" min="103" max="103" width="36.57"/>
    <col customWidth="1" min="104" max="105" width="13.43"/>
    <col customWidth="1" min="106" max="106" width="8.57"/>
    <col customWidth="1" min="107" max="107" width="12.86"/>
  </cols>
  <sheetData>
    <row r="1" ht="13.5" customHeight="1">
      <c r="A1" s="1" t="s">
        <v>0</v>
      </c>
      <c r="I1" s="2" t="b">
        <v>1</v>
      </c>
      <c r="AY1" s="3" t="s">
        <v>1</v>
      </c>
      <c r="AZ1" s="4"/>
      <c r="BA1" s="4"/>
      <c r="BB1" s="4"/>
      <c r="BC1" s="4"/>
      <c r="BD1" s="4"/>
      <c r="BE1" s="4"/>
      <c r="BF1" s="5"/>
      <c r="BG1" s="6" t="s">
        <v>2</v>
      </c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7"/>
      <c r="CU1" s="8" t="s">
        <v>3</v>
      </c>
    </row>
    <row r="2" ht="13.5" customHeight="1">
      <c r="A2" s="9" t="s">
        <v>4</v>
      </c>
      <c r="I2" s="10">
        <v>0.16255282759666448</v>
      </c>
      <c r="J2" s="10"/>
      <c r="W2" s="11" t="s">
        <v>5</v>
      </c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3"/>
      <c r="AI2" s="14" t="s">
        <v>6</v>
      </c>
      <c r="AK2" s="15"/>
      <c r="AL2" s="15"/>
      <c r="AM2" s="15"/>
      <c r="AN2" s="15"/>
      <c r="AO2" s="15"/>
      <c r="AP2" s="15"/>
      <c r="AQ2" s="15"/>
      <c r="AR2" s="15"/>
      <c r="AS2" s="15"/>
      <c r="AT2" s="15"/>
      <c r="AV2" s="16"/>
      <c r="AW2" s="16"/>
      <c r="AY2" s="17"/>
      <c r="BA2" s="18"/>
      <c r="BF2" s="19"/>
      <c r="BL2" s="20">
        <v>45200.0</v>
      </c>
      <c r="CI2" s="21">
        <v>76160.0</v>
      </c>
      <c r="CJ2" s="21">
        <v>1.7</v>
      </c>
      <c r="CL2" s="22">
        <f>(CL3-CL4)*0.2</f>
        <v>826162.2044</v>
      </c>
      <c r="CU2" s="8" t="s">
        <v>3</v>
      </c>
    </row>
    <row r="3" ht="13.5" customHeight="1">
      <c r="A3" s="9"/>
      <c r="H3" s="14" t="s">
        <v>7</v>
      </c>
      <c r="K3" s="14"/>
      <c r="M3" s="23" t="s">
        <v>8</v>
      </c>
      <c r="P3" s="24">
        <f t="shared" ref="P3:Q3" si="1">+ SUMPRODUCT( P8:P103, $B8:$B103 )</f>
        <v>12.559</v>
      </c>
      <c r="Q3" s="24">
        <f t="shared" si="1"/>
        <v>25.304</v>
      </c>
      <c r="S3" s="24">
        <f>+ SUMPRODUCT( S8:S103, $B8:$B103 )</f>
        <v>24.45043</v>
      </c>
      <c r="U3" s="25">
        <f>+ SUMPRODUCT( U8:U103, $B8:$B103 )</f>
        <v>36948.27443</v>
      </c>
      <c r="W3" s="26" t="s">
        <v>9</v>
      </c>
      <c r="AH3" s="27"/>
      <c r="AI3" s="15" t="s">
        <v>10</v>
      </c>
      <c r="AJ3" s="28">
        <v>0.0</v>
      </c>
      <c r="AK3" s="15"/>
      <c r="AL3" s="15"/>
      <c r="AM3" s="15"/>
      <c r="AN3" s="15"/>
      <c r="AO3" s="15"/>
      <c r="AP3" s="15"/>
      <c r="AQ3" s="15"/>
      <c r="AR3" s="15"/>
      <c r="AS3" s="15"/>
      <c r="AT3" s="15"/>
      <c r="AV3" s="29">
        <f>+ SUMPRODUCT( AV8:AV103, $B8:$B103 )*1.16</f>
        <v>36485984.78</v>
      </c>
      <c r="AW3" s="30"/>
      <c r="AY3" s="17"/>
      <c r="AZ3" s="29">
        <f>+ SUMPRODUCT( AZ8:AZ103, $B8:$B103 )</f>
        <v>0</v>
      </c>
      <c r="BA3" s="28"/>
      <c r="BF3" s="19"/>
      <c r="BL3" s="20">
        <v>45230.0</v>
      </c>
      <c r="BO3" s="31">
        <f>BO27/12</f>
        <v>2710.365</v>
      </c>
      <c r="BQ3" s="29">
        <f>+ SUMPRODUCT( BQ8:BQ103, $B8:$B103 )</f>
        <v>755783.5527</v>
      </c>
      <c r="BX3" s="23" t="s">
        <v>11</v>
      </c>
      <c r="CI3" s="21">
        <f>(CI2*CJ3/CJ2)/1000000</f>
        <v>37012.06676</v>
      </c>
      <c r="CJ3" s="21">
        <f>CL2</f>
        <v>826162.2044</v>
      </c>
      <c r="CL3" s="32">
        <f>SUBTOTAL(9,CL8:CL25)</f>
        <v>10183759.58</v>
      </c>
      <c r="CM3" s="33" t="s">
        <v>12</v>
      </c>
      <c r="CN3" s="34"/>
      <c r="CO3" s="33" t="s">
        <v>13</v>
      </c>
      <c r="CP3" s="34">
        <v>103.99582715412873</v>
      </c>
      <c r="CQ3" s="34"/>
      <c r="CR3" s="34"/>
      <c r="CS3" s="34"/>
      <c r="CU3" s="8" t="s">
        <v>3</v>
      </c>
    </row>
    <row r="4" ht="13.5" customHeight="1">
      <c r="A4" s="9"/>
      <c r="B4" s="35" t="s">
        <v>14</v>
      </c>
      <c r="C4" s="36"/>
      <c r="D4" s="37">
        <v>0.16255282759666448</v>
      </c>
      <c r="H4" s="14"/>
      <c r="K4" s="14"/>
      <c r="M4" s="23" t="s">
        <v>15</v>
      </c>
      <c r="Q4" s="38">
        <f>SUM(Q26:Q28)</f>
        <v>12.05</v>
      </c>
      <c r="R4" s="39"/>
      <c r="S4" s="40">
        <f>SUM(S24:S25,S31:S32)</f>
        <v>2.8022</v>
      </c>
      <c r="T4" s="39"/>
      <c r="U4" s="40">
        <f>SUM(U24:U25,U31:U32)</f>
        <v>4102.70825</v>
      </c>
      <c r="W4" s="26"/>
      <c r="AH4" s="27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V4" s="41">
        <f>SUM(AV33:AV34,AV30)*0.2</f>
        <v>949916.2849</v>
      </c>
      <c r="AW4" s="30"/>
      <c r="AY4" s="17"/>
      <c r="AZ4" s="42"/>
      <c r="BF4" s="19"/>
      <c r="BL4" s="43">
        <f>+(SUMIFS(Sites_Drivers!$BB$7:$BB$103,Sites_Drivers!$BT$7:$BT$103,"&gt;="&amp;BL$2,Sites_Drivers!$BT$7:$BT$103,"&lt;="&amp;BL$3,Sites_Drivers!$B$7:$B$103,"="&amp;1))</f>
        <v>0</v>
      </c>
      <c r="BO4" s="31">
        <f>BO3*6</f>
        <v>16262.19</v>
      </c>
      <c r="BQ4" s="42"/>
      <c r="BX4" s="44">
        <v>6.0</v>
      </c>
      <c r="BY4" s="45">
        <f>MAX(BY8:BY102)</f>
        <v>46538</v>
      </c>
      <c r="BZ4" s="45"/>
      <c r="CA4" s="46" t="s">
        <v>16</v>
      </c>
      <c r="CL4" s="32">
        <f>SUM(CL8:CL9,CL14:CL16,CL18)+SUM(CL11,CL23,CL24,CL25)</f>
        <v>6052948.559</v>
      </c>
      <c r="CM4" s="33" t="s">
        <v>17</v>
      </c>
      <c r="CN4" s="34"/>
      <c r="CO4" s="34"/>
      <c r="CP4" s="34"/>
      <c r="CQ4" s="34"/>
      <c r="CR4" s="34"/>
      <c r="CS4" s="34"/>
      <c r="CU4" s="8" t="s">
        <v>3</v>
      </c>
    </row>
    <row r="5" ht="13.5" customHeight="1">
      <c r="A5" s="9"/>
      <c r="I5" s="30"/>
      <c r="J5" s="30"/>
      <c r="W5" s="47"/>
      <c r="AH5" s="27"/>
      <c r="AI5" s="15">
        <v>1.0</v>
      </c>
      <c r="AJ5" s="15">
        <v>2.0</v>
      </c>
      <c r="AK5" s="15">
        <v>3.0</v>
      </c>
      <c r="AL5" s="15">
        <v>4.0</v>
      </c>
      <c r="AM5" s="15">
        <v>5.0</v>
      </c>
      <c r="AN5" s="15">
        <v>6.0</v>
      </c>
      <c r="AO5" s="15">
        <v>7.0</v>
      </c>
      <c r="AP5" s="15">
        <v>8.0</v>
      </c>
      <c r="AQ5" s="15">
        <v>9.0</v>
      </c>
      <c r="AR5" s="15">
        <v>10.0</v>
      </c>
      <c r="AS5" s="15">
        <v>11.0</v>
      </c>
      <c r="AT5" s="15">
        <v>12.0</v>
      </c>
      <c r="AU5" s="48">
        <v>0.008</v>
      </c>
      <c r="AY5" s="17"/>
      <c r="BF5" s="19"/>
      <c r="BQ5" s="49" t="s">
        <v>18</v>
      </c>
      <c r="BX5" s="33"/>
      <c r="BY5" s="33"/>
      <c r="BZ5" s="33"/>
      <c r="CA5" s="50">
        <f>+ IF( CO5 = 1, MAXIFS( CS8:CS103, B8:B103, "=" &amp; 1 ), MAXIFS( CA8:CA103, B8:B103, "=" &amp; 1 ) )</f>
        <v>55639</v>
      </c>
      <c r="CM5" s="51">
        <v>10.0</v>
      </c>
      <c r="CN5" s="52"/>
      <c r="CO5" s="53">
        <v>0.0</v>
      </c>
      <c r="CP5" s="54"/>
      <c r="CQ5" s="54"/>
      <c r="CR5" s="54"/>
      <c r="CS5" s="54"/>
      <c r="CU5" s="8" t="s">
        <v>3</v>
      </c>
    </row>
    <row r="6" ht="13.5" customHeight="1">
      <c r="B6" s="55" t="s">
        <v>19</v>
      </c>
      <c r="C6" s="55"/>
      <c r="D6" s="55" t="s">
        <v>19</v>
      </c>
      <c r="E6" s="55"/>
      <c r="F6" s="55"/>
      <c r="G6" s="55" t="s">
        <v>19</v>
      </c>
      <c r="H6" s="55"/>
      <c r="I6" s="55"/>
      <c r="J6" s="55"/>
      <c r="K6" s="55"/>
      <c r="L6" s="55"/>
      <c r="M6" s="55"/>
      <c r="N6" s="55"/>
      <c r="O6" s="55"/>
      <c r="P6" s="55" t="s">
        <v>20</v>
      </c>
      <c r="Q6" s="55" t="s">
        <v>21</v>
      </c>
      <c r="R6" s="55" t="s">
        <v>22</v>
      </c>
      <c r="S6" s="55" t="s">
        <v>23</v>
      </c>
      <c r="T6" s="55" t="s">
        <v>24</v>
      </c>
      <c r="U6" s="55" t="s">
        <v>21</v>
      </c>
      <c r="V6" s="55"/>
      <c r="W6" s="56" t="s">
        <v>25</v>
      </c>
      <c r="X6" s="57" t="s">
        <v>25</v>
      </c>
      <c r="Y6" s="57" t="s">
        <v>25</v>
      </c>
      <c r="Z6" s="57" t="s">
        <v>25</v>
      </c>
      <c r="AA6" s="57" t="s">
        <v>25</v>
      </c>
      <c r="AB6" s="57" t="s">
        <v>25</v>
      </c>
      <c r="AC6" s="57" t="s">
        <v>25</v>
      </c>
      <c r="AD6" s="57" t="s">
        <v>25</v>
      </c>
      <c r="AE6" s="57" t="s">
        <v>25</v>
      </c>
      <c r="AF6" s="57" t="s">
        <v>25</v>
      </c>
      <c r="AG6" s="57" t="s">
        <v>25</v>
      </c>
      <c r="AH6" s="58" t="s">
        <v>25</v>
      </c>
      <c r="AI6" s="55" t="s">
        <v>25</v>
      </c>
      <c r="AJ6" s="55" t="s">
        <v>25</v>
      </c>
      <c r="AK6" s="55" t="s">
        <v>25</v>
      </c>
      <c r="AL6" s="55" t="s">
        <v>25</v>
      </c>
      <c r="AM6" s="55" t="s">
        <v>25</v>
      </c>
      <c r="AN6" s="55" t="s">
        <v>25</v>
      </c>
      <c r="AO6" s="55" t="s">
        <v>25</v>
      </c>
      <c r="AP6" s="55" t="s">
        <v>25</v>
      </c>
      <c r="AQ6" s="55" t="s">
        <v>25</v>
      </c>
      <c r="AR6" s="55" t="s">
        <v>25</v>
      </c>
      <c r="AS6" s="55" t="s">
        <v>25</v>
      </c>
      <c r="AT6" s="55" t="s">
        <v>25</v>
      </c>
      <c r="AU6" s="59" t="s">
        <v>26</v>
      </c>
      <c r="AV6" s="55" t="s">
        <v>27</v>
      </c>
      <c r="AW6" s="55" t="s">
        <v>28</v>
      </c>
      <c r="AX6" s="55" t="s">
        <v>19</v>
      </c>
      <c r="AY6" s="60" t="s">
        <v>26</v>
      </c>
      <c r="AZ6" s="55" t="s">
        <v>27</v>
      </c>
      <c r="BA6" s="55" t="s">
        <v>28</v>
      </c>
      <c r="BB6" s="61" t="s">
        <v>29</v>
      </c>
      <c r="BC6" s="4"/>
      <c r="BD6" s="4"/>
      <c r="BE6" s="4"/>
      <c r="BF6" s="5"/>
      <c r="BG6" s="59" t="s">
        <v>30</v>
      </c>
      <c r="BH6" s="59" t="s">
        <v>31</v>
      </c>
      <c r="BI6" s="59"/>
      <c r="BJ6" s="59" t="s">
        <v>32</v>
      </c>
      <c r="BK6" s="59" t="s">
        <v>26</v>
      </c>
      <c r="BL6" s="59" t="s">
        <v>26</v>
      </c>
      <c r="BM6" s="59" t="s">
        <v>33</v>
      </c>
      <c r="BN6" s="59" t="s">
        <v>27</v>
      </c>
      <c r="BO6" s="59" t="s">
        <v>27</v>
      </c>
      <c r="BP6" s="59" t="s">
        <v>26</v>
      </c>
      <c r="BQ6" s="59" t="s">
        <v>27</v>
      </c>
      <c r="BR6" s="62" t="s">
        <v>34</v>
      </c>
      <c r="BS6" s="4"/>
      <c r="BT6" s="4"/>
      <c r="BU6" s="4"/>
      <c r="BV6" s="4"/>
      <c r="BW6" s="4"/>
      <c r="BX6" s="4"/>
      <c r="BY6" s="4"/>
      <c r="BZ6" s="4"/>
      <c r="CA6" s="7"/>
      <c r="CB6" s="61" t="s">
        <v>35</v>
      </c>
      <c r="CC6" s="4"/>
      <c r="CD6" s="4"/>
      <c r="CE6" s="4"/>
      <c r="CF6" s="7"/>
      <c r="CG6" s="61" t="s">
        <v>35</v>
      </c>
      <c r="CH6" s="4"/>
      <c r="CI6" s="4"/>
      <c r="CJ6" s="4"/>
      <c r="CK6" s="4"/>
      <c r="CL6" s="7"/>
      <c r="CP6" s="59" t="s">
        <v>30</v>
      </c>
      <c r="CQ6" s="59" t="s">
        <v>30</v>
      </c>
      <c r="CR6" s="59" t="s">
        <v>30</v>
      </c>
      <c r="CS6" s="59"/>
      <c r="CU6" s="8" t="s">
        <v>3</v>
      </c>
    </row>
    <row r="7" ht="54.75" customHeight="1">
      <c r="B7" s="63" t="s">
        <v>36</v>
      </c>
      <c r="C7" s="64" t="s">
        <v>37</v>
      </c>
      <c r="D7" s="65" t="s">
        <v>38</v>
      </c>
      <c r="E7" s="65" t="s">
        <v>39</v>
      </c>
      <c r="F7" s="65" t="s">
        <v>40</v>
      </c>
      <c r="G7" s="63" t="s">
        <v>41</v>
      </c>
      <c r="H7" s="63" t="s">
        <v>42</v>
      </c>
      <c r="I7" s="63" t="s">
        <v>43</v>
      </c>
      <c r="J7" s="66" t="s">
        <v>44</v>
      </c>
      <c r="K7" s="67" t="s">
        <v>45</v>
      </c>
      <c r="L7" s="66" t="s">
        <v>46</v>
      </c>
      <c r="M7" s="63" t="s">
        <v>47</v>
      </c>
      <c r="N7" s="63" t="s">
        <v>48</v>
      </c>
      <c r="O7" s="63" t="s">
        <v>49</v>
      </c>
      <c r="P7" s="68" t="s">
        <v>50</v>
      </c>
      <c r="Q7" s="68" t="s">
        <v>51</v>
      </c>
      <c r="R7" s="68" t="s">
        <v>52</v>
      </c>
      <c r="S7" s="69" t="s">
        <v>53</v>
      </c>
      <c r="T7" s="70" t="s">
        <v>54</v>
      </c>
      <c r="U7" s="69" t="s">
        <v>55</v>
      </c>
      <c r="V7" s="71" t="s">
        <v>56</v>
      </c>
      <c r="W7" s="72" t="s">
        <v>57</v>
      </c>
      <c r="X7" s="73" t="s">
        <v>58</v>
      </c>
      <c r="Y7" s="73" t="s">
        <v>59</v>
      </c>
      <c r="Z7" s="73" t="s">
        <v>60</v>
      </c>
      <c r="AA7" s="73" t="s">
        <v>61</v>
      </c>
      <c r="AB7" s="73" t="s">
        <v>62</v>
      </c>
      <c r="AC7" s="73" t="s">
        <v>63</v>
      </c>
      <c r="AD7" s="73" t="s">
        <v>64</v>
      </c>
      <c r="AE7" s="73" t="s">
        <v>65</v>
      </c>
      <c r="AF7" s="73" t="s">
        <v>66</v>
      </c>
      <c r="AG7" s="73" t="s">
        <v>67</v>
      </c>
      <c r="AH7" s="74" t="s">
        <v>68</v>
      </c>
      <c r="AI7" s="75" t="s">
        <v>57</v>
      </c>
      <c r="AJ7" s="75" t="s">
        <v>58</v>
      </c>
      <c r="AK7" s="75" t="s">
        <v>59</v>
      </c>
      <c r="AL7" s="75" t="s">
        <v>60</v>
      </c>
      <c r="AM7" s="75" t="s">
        <v>61</v>
      </c>
      <c r="AN7" s="75" t="s">
        <v>62</v>
      </c>
      <c r="AO7" s="75" t="s">
        <v>63</v>
      </c>
      <c r="AP7" s="75" t="s">
        <v>64</v>
      </c>
      <c r="AQ7" s="75" t="s">
        <v>65</v>
      </c>
      <c r="AR7" s="75" t="s">
        <v>66</v>
      </c>
      <c r="AS7" s="75" t="s">
        <v>67</v>
      </c>
      <c r="AT7" s="75" t="s">
        <v>68</v>
      </c>
      <c r="AU7" s="69" t="s">
        <v>69</v>
      </c>
      <c r="AV7" s="71" t="s">
        <v>70</v>
      </c>
      <c r="AW7" s="71" t="s">
        <v>71</v>
      </c>
      <c r="AX7" s="63" t="s">
        <v>72</v>
      </c>
      <c r="AY7" s="76" t="s">
        <v>73</v>
      </c>
      <c r="AZ7" s="77" t="s">
        <v>74</v>
      </c>
      <c r="BA7" s="69" t="s">
        <v>75</v>
      </c>
      <c r="BB7" s="78" t="s">
        <v>76</v>
      </c>
      <c r="BC7" s="79" t="s">
        <v>77</v>
      </c>
      <c r="BD7" s="79" t="s">
        <v>78</v>
      </c>
      <c r="BE7" s="79" t="s">
        <v>79</v>
      </c>
      <c r="BF7" s="80" t="s">
        <v>80</v>
      </c>
      <c r="BG7" s="81" t="s">
        <v>81</v>
      </c>
      <c r="BH7" s="82" t="s">
        <v>82</v>
      </c>
      <c r="BI7" s="81" t="s">
        <v>83</v>
      </c>
      <c r="BJ7" s="81" t="s">
        <v>84</v>
      </c>
      <c r="BK7" s="69" t="s">
        <v>85</v>
      </c>
      <c r="BL7" s="69" t="s">
        <v>86</v>
      </c>
      <c r="BM7" s="69" t="s">
        <v>87</v>
      </c>
      <c r="BN7" s="83" t="s">
        <v>88</v>
      </c>
      <c r="BO7" s="83" t="s">
        <v>89</v>
      </c>
      <c r="BP7" s="66" t="s">
        <v>90</v>
      </c>
      <c r="BQ7" s="71" t="s">
        <v>91</v>
      </c>
      <c r="BR7" s="69" t="s">
        <v>92</v>
      </c>
      <c r="BS7" s="69" t="s">
        <v>93</v>
      </c>
      <c r="BT7" s="79" t="s">
        <v>76</v>
      </c>
      <c r="BU7" s="79" t="s">
        <v>77</v>
      </c>
      <c r="BV7" s="79" t="s">
        <v>78</v>
      </c>
      <c r="BW7" s="79" t="s">
        <v>79</v>
      </c>
      <c r="BX7" s="75" t="s">
        <v>94</v>
      </c>
      <c r="BY7" s="79" t="s">
        <v>80</v>
      </c>
      <c r="BZ7" s="84" t="s">
        <v>95</v>
      </c>
      <c r="CA7" s="85" t="s">
        <v>96</v>
      </c>
      <c r="CB7" s="78" t="s">
        <v>76</v>
      </c>
      <c r="CC7" s="79" t="s">
        <v>77</v>
      </c>
      <c r="CD7" s="79" t="s">
        <v>78</v>
      </c>
      <c r="CE7" s="79" t="s">
        <v>79</v>
      </c>
      <c r="CF7" s="79" t="s">
        <v>80</v>
      </c>
      <c r="CG7" s="78" t="s">
        <v>76</v>
      </c>
      <c r="CH7" s="79" t="s">
        <v>77</v>
      </c>
      <c r="CI7" s="79" t="s">
        <v>78</v>
      </c>
      <c r="CJ7" s="79" t="s">
        <v>79</v>
      </c>
      <c r="CK7" s="79" t="s">
        <v>80</v>
      </c>
      <c r="CL7" s="86" t="s">
        <v>97</v>
      </c>
      <c r="CM7" s="85" t="s">
        <v>98</v>
      </c>
      <c r="CN7" s="69" t="s">
        <v>99</v>
      </c>
      <c r="CO7" s="71" t="s">
        <v>100</v>
      </c>
      <c r="CP7" s="71" t="s">
        <v>101</v>
      </c>
      <c r="CQ7" s="69" t="s">
        <v>102</v>
      </c>
      <c r="CR7" s="69" t="s">
        <v>103</v>
      </c>
      <c r="CS7" s="85" t="s">
        <v>104</v>
      </c>
      <c r="CU7" s="8" t="s">
        <v>3</v>
      </c>
    </row>
    <row r="8" ht="13.5" customHeight="1">
      <c r="A8" s="23">
        <v>1.0</v>
      </c>
      <c r="B8" s="87">
        <v>1.0</v>
      </c>
      <c r="C8" s="88">
        <f t="shared" ref="C8:C102" si="5">+ IFERROR( OFFSET( C8, -1, 0 ) + 1, 1 )</f>
        <v>1</v>
      </c>
      <c r="D8" s="87"/>
      <c r="E8" s="89" t="s">
        <v>105</v>
      </c>
      <c r="F8" s="89">
        <v>1.0</v>
      </c>
      <c r="G8" s="90" t="s">
        <v>106</v>
      </c>
      <c r="H8" s="91" t="s">
        <v>107</v>
      </c>
      <c r="I8" s="92" t="s">
        <v>107</v>
      </c>
      <c r="J8" s="93"/>
      <c r="K8" s="43">
        <f t="shared" ref="K8:K102" si="6">+ ( COUNTIFS( $H$7:$H8, "=" &amp; $H8 ) = 1 ) * 1 * B8</f>
        <v>1</v>
      </c>
      <c r="L8" s="92">
        <v>1.0</v>
      </c>
      <c r="M8" s="92" t="s">
        <v>108</v>
      </c>
      <c r="N8" s="94" t="str">
        <f t="shared" ref="N8:N102" si="7">+ H8 &amp; " | " &amp; M8</f>
        <v>Waldaschaff Automotive | León SFV 2252</v>
      </c>
      <c r="O8" s="92"/>
      <c r="P8" s="92"/>
      <c r="Q8" s="92"/>
      <c r="R8" s="92"/>
      <c r="S8" s="95">
        <v>0.6248</v>
      </c>
      <c r="T8" s="96">
        <f t="shared" ref="T8:T102" si="8">+IFERROR( U8 / S8, 0 )</f>
        <v>1533.450704</v>
      </c>
      <c r="U8" s="97">
        <v>958.1</v>
      </c>
      <c r="V8" s="98" t="s">
        <v>109</v>
      </c>
      <c r="W8" s="99">
        <v>79841.66666666667</v>
      </c>
      <c r="X8" s="100">
        <v>79841.66666666667</v>
      </c>
      <c r="Y8" s="100">
        <v>79841.66666666667</v>
      </c>
      <c r="Z8" s="100">
        <v>79841.66666666667</v>
      </c>
      <c r="AA8" s="100">
        <v>79841.66666666667</v>
      </c>
      <c r="AB8" s="100">
        <v>79841.66666666667</v>
      </c>
      <c r="AC8" s="100">
        <v>79841.66666666667</v>
      </c>
      <c r="AD8" s="100">
        <v>79841.66666666667</v>
      </c>
      <c r="AE8" s="100">
        <v>79841.66666666667</v>
      </c>
      <c r="AF8" s="100">
        <v>79841.66666666667</v>
      </c>
      <c r="AG8" s="100">
        <v>79841.66666666667</v>
      </c>
      <c r="AH8" s="101">
        <v>79841.66666666667</v>
      </c>
      <c r="AI8" s="102">
        <f t="shared" ref="AI8:AT8" si="2">+ W8 * ( 1 + $AJ$3 )</f>
        <v>79841.66667</v>
      </c>
      <c r="AJ8" s="103">
        <f t="shared" si="2"/>
        <v>79841.66667</v>
      </c>
      <c r="AK8" s="103">
        <f t="shared" si="2"/>
        <v>79841.66667</v>
      </c>
      <c r="AL8" s="103">
        <f t="shared" si="2"/>
        <v>79841.66667</v>
      </c>
      <c r="AM8" s="103">
        <f t="shared" si="2"/>
        <v>79841.66667</v>
      </c>
      <c r="AN8" s="103">
        <f t="shared" si="2"/>
        <v>79841.66667</v>
      </c>
      <c r="AO8" s="103">
        <f t="shared" si="2"/>
        <v>79841.66667</v>
      </c>
      <c r="AP8" s="103">
        <f t="shared" si="2"/>
        <v>79841.66667</v>
      </c>
      <c r="AQ8" s="103">
        <f t="shared" si="2"/>
        <v>79841.66667</v>
      </c>
      <c r="AR8" s="103">
        <f t="shared" si="2"/>
        <v>79841.66667</v>
      </c>
      <c r="AS8" s="103">
        <f t="shared" si="2"/>
        <v>79841.66667</v>
      </c>
      <c r="AT8" s="103">
        <f t="shared" si="2"/>
        <v>79841.66667</v>
      </c>
      <c r="AU8" s="104">
        <v>0.0055</v>
      </c>
      <c r="AV8" s="105">
        <v>408907.2890211641</v>
      </c>
      <c r="AW8" s="106">
        <f t="shared" ref="AW8:AW102" si="10">IFERROR((AV8/1000000)/(S8),"n.a.")</f>
        <v>0.65446109</v>
      </c>
      <c r="AX8" s="90" t="s">
        <v>110</v>
      </c>
      <c r="AY8" s="107">
        <v>0.0</v>
      </c>
      <c r="AZ8" s="108">
        <f t="shared" ref="AZ8:AZ102" si="11">+ AV8 * AY8</f>
        <v>0</v>
      </c>
      <c r="BA8" s="109">
        <f t="shared" ref="BA8:BA102" si="12">AW8</f>
        <v>0.65446109</v>
      </c>
      <c r="BB8" s="110">
        <f t="shared" ref="BB8:BF8" si="3">+IFERROR( $AZ8 * CB8, 0 )</f>
        <v>0</v>
      </c>
      <c r="BC8" s="110">
        <f t="shared" si="3"/>
        <v>0</v>
      </c>
      <c r="BD8" s="110">
        <f t="shared" si="3"/>
        <v>0</v>
      </c>
      <c r="BE8" s="110">
        <f t="shared" si="3"/>
        <v>0</v>
      </c>
      <c r="BF8" s="111">
        <f t="shared" si="3"/>
        <v>0</v>
      </c>
      <c r="BG8" s="112">
        <v>82.00000000000001</v>
      </c>
      <c r="BH8" s="113"/>
      <c r="BI8" s="114" t="s">
        <v>27</v>
      </c>
      <c r="BJ8" s="115">
        <v>10.0</v>
      </c>
      <c r="BK8" s="116" t="s">
        <v>111</v>
      </c>
      <c r="BL8" s="117">
        <v>0.02</v>
      </c>
      <c r="BM8" s="118">
        <v>13.0</v>
      </c>
      <c r="BN8" s="119"/>
      <c r="BO8" s="120">
        <v>8122.400000000001</v>
      </c>
      <c r="BP8" s="28">
        <v>0.04</v>
      </c>
      <c r="BQ8" s="43">
        <f t="shared" ref="BQ8:BQ102" si="14">IFERROR(+ ( CM8 &gt; 0 ) * ( AV8 * BP8 ), "n.a.")</f>
        <v>0</v>
      </c>
      <c r="BR8" s="121">
        <v>45184.0</v>
      </c>
      <c r="BS8" s="122">
        <f>BY8-BR8</f>
        <v>1081</v>
      </c>
      <c r="BT8" s="123">
        <v>45292.0</v>
      </c>
      <c r="BU8" s="123">
        <v>45293.0</v>
      </c>
      <c r="BV8" s="123">
        <v>0.0</v>
      </c>
      <c r="BW8" s="123">
        <v>0.0</v>
      </c>
      <c r="BX8" s="123">
        <v>45347.0</v>
      </c>
      <c r="BY8" s="123">
        <v>46265.0</v>
      </c>
      <c r="BZ8" s="124">
        <v>45352.0</v>
      </c>
      <c r="CA8" s="45">
        <v>49887.0</v>
      </c>
      <c r="CB8" s="125">
        <v>0.7</v>
      </c>
      <c r="CC8" s="125">
        <v>0.2</v>
      </c>
      <c r="CD8" s="125" t="s">
        <v>112</v>
      </c>
      <c r="CE8" s="125" t="s">
        <v>112</v>
      </c>
      <c r="CF8" s="125">
        <v>0.1</v>
      </c>
      <c r="CG8" s="110">
        <f t="shared" ref="CG8:CK8" si="4">+IFERROR( $AV8 * CB8, 0 )</f>
        <v>286235.1023</v>
      </c>
      <c r="CH8" s="110">
        <f t="shared" si="4"/>
        <v>81781.4578</v>
      </c>
      <c r="CI8" s="110">
        <f t="shared" si="4"/>
        <v>0</v>
      </c>
      <c r="CJ8" s="110">
        <f t="shared" si="4"/>
        <v>0</v>
      </c>
      <c r="CK8" s="110">
        <f t="shared" si="4"/>
        <v>40890.7289</v>
      </c>
      <c r="CL8" s="126">
        <f t="shared" ref="CL8:CL102" si="16">+ SUM( CG8:CK8 )</f>
        <v>408907.289</v>
      </c>
      <c r="CM8" s="127">
        <v>0.0</v>
      </c>
      <c r="CN8" s="128">
        <v>30.0</v>
      </c>
      <c r="CO8" s="129">
        <f t="shared" ref="CO8:CO102" si="17">+ ( CN8 - BJ8 )</f>
        <v>20</v>
      </c>
      <c r="CP8" s="130">
        <v>99.9575424395701</v>
      </c>
      <c r="CQ8" s="131">
        <v>0.0</v>
      </c>
      <c r="CR8" s="132">
        <f t="shared" ref="CR8:CR102" si="18">IFERROR(+ CP8 * ( 1 - CQ8 ), "n.a.")</f>
        <v>99.95754244</v>
      </c>
      <c r="CS8" s="45">
        <v>57161.0</v>
      </c>
      <c r="CU8" s="8" t="s">
        <v>3</v>
      </c>
      <c r="CV8" s="30"/>
      <c r="CZ8" s="31"/>
      <c r="DA8" s="31"/>
      <c r="DC8" s="133"/>
    </row>
    <row r="9" ht="13.5" customHeight="1">
      <c r="A9" s="23">
        <v>1.0</v>
      </c>
      <c r="B9" s="87">
        <v>1.0</v>
      </c>
      <c r="C9" s="88">
        <f t="shared" si="5"/>
        <v>2</v>
      </c>
      <c r="D9" s="87"/>
      <c r="E9" s="89" t="s">
        <v>105</v>
      </c>
      <c r="F9" s="89">
        <v>1.0</v>
      </c>
      <c r="G9" s="90" t="s">
        <v>106</v>
      </c>
      <c r="H9" s="91" t="s">
        <v>113</v>
      </c>
      <c r="I9" s="92" t="s">
        <v>113</v>
      </c>
      <c r="J9" s="93"/>
      <c r="K9" s="43">
        <f t="shared" si="6"/>
        <v>1</v>
      </c>
      <c r="L9" s="92">
        <v>1.0</v>
      </c>
      <c r="M9" s="92" t="s">
        <v>114</v>
      </c>
      <c r="N9" s="94" t="str">
        <f t="shared" si="7"/>
        <v>Legrand | LEGRAND BTICINO Querétaro</v>
      </c>
      <c r="O9" s="92"/>
      <c r="P9" s="92"/>
      <c r="Q9" s="92"/>
      <c r="R9" s="92"/>
      <c r="S9" s="95">
        <v>0.6248</v>
      </c>
      <c r="T9" s="96">
        <f t="shared" si="8"/>
        <v>1575.832907</v>
      </c>
      <c r="U9" s="97">
        <v>984.5804</v>
      </c>
      <c r="V9" s="98" t="s">
        <v>109</v>
      </c>
      <c r="W9" s="99">
        <v>66429.6</v>
      </c>
      <c r="X9" s="100">
        <v>74277.4</v>
      </c>
      <c r="Y9" s="100">
        <v>93930.6</v>
      </c>
      <c r="Z9" s="100">
        <v>97836.6</v>
      </c>
      <c r="AA9" s="100">
        <v>98812.7</v>
      </c>
      <c r="AB9" s="100">
        <v>89819.1</v>
      </c>
      <c r="AC9" s="100">
        <v>91548.7</v>
      </c>
      <c r="AD9" s="100">
        <v>89989.9</v>
      </c>
      <c r="AE9" s="100">
        <v>77456.0</v>
      </c>
      <c r="AF9" s="100">
        <v>75858.6</v>
      </c>
      <c r="AG9" s="100">
        <v>68060.9</v>
      </c>
      <c r="AH9" s="101">
        <v>60560.3</v>
      </c>
      <c r="AI9" s="102">
        <f t="shared" ref="AI9:AT9" si="9">+ W9 * ( 1 + $AJ$3 )</f>
        <v>66429.6</v>
      </c>
      <c r="AJ9" s="103">
        <f t="shared" si="9"/>
        <v>74277.4</v>
      </c>
      <c r="AK9" s="103">
        <f t="shared" si="9"/>
        <v>93930.6</v>
      </c>
      <c r="AL9" s="103">
        <f t="shared" si="9"/>
        <v>97836.6</v>
      </c>
      <c r="AM9" s="103">
        <f t="shared" si="9"/>
        <v>98812.7</v>
      </c>
      <c r="AN9" s="103">
        <f t="shared" si="9"/>
        <v>89819.1</v>
      </c>
      <c r="AO9" s="103">
        <f t="shared" si="9"/>
        <v>91548.7</v>
      </c>
      <c r="AP9" s="103">
        <f t="shared" si="9"/>
        <v>89989.9</v>
      </c>
      <c r="AQ9" s="103">
        <f t="shared" si="9"/>
        <v>77456</v>
      </c>
      <c r="AR9" s="103">
        <f t="shared" si="9"/>
        <v>75858.6</v>
      </c>
      <c r="AS9" s="103">
        <f t="shared" si="9"/>
        <v>68060.9</v>
      </c>
      <c r="AT9" s="103">
        <f t="shared" si="9"/>
        <v>60560.3</v>
      </c>
      <c r="AU9" s="104">
        <v>0.0055</v>
      </c>
      <c r="AV9" s="105">
        <v>522284.00631838094</v>
      </c>
      <c r="AW9" s="106">
        <f t="shared" si="10"/>
        <v>0.8359219051</v>
      </c>
      <c r="AX9" s="90" t="s">
        <v>110</v>
      </c>
      <c r="AY9" s="107">
        <v>0.0</v>
      </c>
      <c r="AZ9" s="108">
        <f t="shared" si="11"/>
        <v>0</v>
      </c>
      <c r="BA9" s="109">
        <f t="shared" si="12"/>
        <v>0.8359219051</v>
      </c>
      <c r="BB9" s="110">
        <f t="shared" ref="BB9:BF9" si="13">+IFERROR( $AZ9 * CB9, 0 )</f>
        <v>0</v>
      </c>
      <c r="BC9" s="110">
        <f t="shared" si="13"/>
        <v>0</v>
      </c>
      <c r="BD9" s="110">
        <f t="shared" si="13"/>
        <v>0</v>
      </c>
      <c r="BE9" s="110">
        <f t="shared" si="13"/>
        <v>0</v>
      </c>
      <c r="BF9" s="111">
        <f t="shared" si="13"/>
        <v>0</v>
      </c>
      <c r="BG9" s="112">
        <v>88.5</v>
      </c>
      <c r="BH9" s="113"/>
      <c r="BI9" s="114" t="s">
        <v>27</v>
      </c>
      <c r="BJ9" s="115">
        <v>15.0</v>
      </c>
      <c r="BK9" s="116" t="s">
        <v>111</v>
      </c>
      <c r="BL9" s="117">
        <v>0.02</v>
      </c>
      <c r="BM9" s="118">
        <v>13.0</v>
      </c>
      <c r="BN9" s="119"/>
      <c r="BO9" s="120">
        <v>8122.400000000001</v>
      </c>
      <c r="BP9" s="28">
        <v>0.04</v>
      </c>
      <c r="BQ9" s="43">
        <f t="shared" si="14"/>
        <v>20891.36025</v>
      </c>
      <c r="BR9" s="121">
        <v>45225.0</v>
      </c>
      <c r="BS9" s="122">
        <v>196.0</v>
      </c>
      <c r="BT9" s="123">
        <v>45292.0</v>
      </c>
      <c r="BU9" s="123">
        <v>45293.0</v>
      </c>
      <c r="BV9" s="123">
        <v>0.0</v>
      </c>
      <c r="BW9" s="123">
        <v>0.0</v>
      </c>
      <c r="BX9" s="123">
        <v>45574.0</v>
      </c>
      <c r="BY9" s="123">
        <v>46234.0</v>
      </c>
      <c r="BZ9" s="124">
        <v>45574.0</v>
      </c>
      <c r="CA9" s="45">
        <v>51682.0</v>
      </c>
      <c r="CB9" s="125">
        <v>0.7</v>
      </c>
      <c r="CC9" s="125">
        <v>0.2</v>
      </c>
      <c r="CD9" s="125" t="s">
        <v>112</v>
      </c>
      <c r="CE9" s="125" t="s">
        <v>112</v>
      </c>
      <c r="CF9" s="125">
        <v>0.1</v>
      </c>
      <c r="CG9" s="110">
        <f t="shared" ref="CG9:CK9" si="15">+IFERROR( $AV9 * CB9, 0 )</f>
        <v>365598.8044</v>
      </c>
      <c r="CH9" s="110">
        <f t="shared" si="15"/>
        <v>104456.8013</v>
      </c>
      <c r="CI9" s="110">
        <f t="shared" si="15"/>
        <v>0</v>
      </c>
      <c r="CJ9" s="110">
        <f t="shared" si="15"/>
        <v>0</v>
      </c>
      <c r="CK9" s="110">
        <f t="shared" si="15"/>
        <v>52228.40063</v>
      </c>
      <c r="CL9" s="126">
        <f t="shared" si="16"/>
        <v>522284.0063</v>
      </c>
      <c r="CM9" s="127">
        <v>49887.0</v>
      </c>
      <c r="CN9" s="128">
        <v>30.0</v>
      </c>
      <c r="CO9" s="129">
        <f t="shared" si="17"/>
        <v>15</v>
      </c>
      <c r="CP9" s="130">
        <v>119.10934794168544</v>
      </c>
      <c r="CQ9" s="131">
        <v>0.0</v>
      </c>
      <c r="CR9" s="132">
        <f t="shared" si="18"/>
        <v>119.1093479</v>
      </c>
      <c r="CS9" s="45">
        <v>57131.0</v>
      </c>
      <c r="CU9" s="8" t="s">
        <v>3</v>
      </c>
      <c r="CV9" s="30"/>
      <c r="CZ9" s="31"/>
      <c r="DA9" s="31"/>
      <c r="DC9" s="133"/>
    </row>
    <row r="10" ht="13.5" customHeight="1">
      <c r="A10" s="23">
        <v>2.0</v>
      </c>
      <c r="B10" s="87">
        <v>1.0</v>
      </c>
      <c r="C10" s="88">
        <f t="shared" si="5"/>
        <v>3</v>
      </c>
      <c r="D10" s="87"/>
      <c r="E10" s="89" t="s">
        <v>115</v>
      </c>
      <c r="F10" s="89">
        <v>1.0</v>
      </c>
      <c r="G10" s="90" t="s">
        <v>106</v>
      </c>
      <c r="H10" s="91" t="s">
        <v>116</v>
      </c>
      <c r="I10" s="92" t="s">
        <v>116</v>
      </c>
      <c r="J10" s="93"/>
      <c r="K10" s="43">
        <f t="shared" si="6"/>
        <v>1</v>
      </c>
      <c r="L10" s="92">
        <v>1.0</v>
      </c>
      <c r="M10" s="92" t="s">
        <v>117</v>
      </c>
      <c r="N10" s="94" t="str">
        <f t="shared" si="7"/>
        <v>Forvia | PUEBLA - MEX0420</v>
      </c>
      <c r="O10" s="92"/>
      <c r="P10" s="92"/>
      <c r="Q10" s="92"/>
      <c r="R10" s="92"/>
      <c r="S10" s="95">
        <v>0.255945</v>
      </c>
      <c r="T10" s="96">
        <f t="shared" si="8"/>
        <v>1661.685128</v>
      </c>
      <c r="U10" s="97">
        <v>425.3</v>
      </c>
      <c r="V10" s="98" t="s">
        <v>109</v>
      </c>
      <c r="W10" s="99">
        <v>35441.66666666667</v>
      </c>
      <c r="X10" s="100">
        <v>35441.66666666667</v>
      </c>
      <c r="Y10" s="100">
        <v>35441.66666666667</v>
      </c>
      <c r="Z10" s="100">
        <v>35441.66666666667</v>
      </c>
      <c r="AA10" s="100">
        <v>35441.66666666667</v>
      </c>
      <c r="AB10" s="100">
        <v>35441.66666666667</v>
      </c>
      <c r="AC10" s="100">
        <v>35441.66666666667</v>
      </c>
      <c r="AD10" s="100">
        <v>35441.66666666667</v>
      </c>
      <c r="AE10" s="100">
        <v>35441.66666666667</v>
      </c>
      <c r="AF10" s="100">
        <v>35441.66666666667</v>
      </c>
      <c r="AG10" s="100">
        <v>35441.66666666667</v>
      </c>
      <c r="AH10" s="101">
        <v>35441.66666666667</v>
      </c>
      <c r="AI10" s="102">
        <f t="shared" ref="AI10:AT10" si="19">+ W10 * ( 1 + $AJ$3 )</f>
        <v>35441.66667</v>
      </c>
      <c r="AJ10" s="103">
        <f t="shared" si="19"/>
        <v>35441.66667</v>
      </c>
      <c r="AK10" s="103">
        <f t="shared" si="19"/>
        <v>35441.66667</v>
      </c>
      <c r="AL10" s="103">
        <f t="shared" si="19"/>
        <v>35441.66667</v>
      </c>
      <c r="AM10" s="103">
        <f t="shared" si="19"/>
        <v>35441.66667</v>
      </c>
      <c r="AN10" s="103">
        <f t="shared" si="19"/>
        <v>35441.66667</v>
      </c>
      <c r="AO10" s="103">
        <f t="shared" si="19"/>
        <v>35441.66667</v>
      </c>
      <c r="AP10" s="103">
        <f t="shared" si="19"/>
        <v>35441.66667</v>
      </c>
      <c r="AQ10" s="103">
        <f t="shared" si="19"/>
        <v>35441.66667</v>
      </c>
      <c r="AR10" s="103">
        <f t="shared" si="19"/>
        <v>35441.66667</v>
      </c>
      <c r="AS10" s="103">
        <f t="shared" si="19"/>
        <v>35441.66667</v>
      </c>
      <c r="AT10" s="103">
        <f t="shared" si="19"/>
        <v>35441.66667</v>
      </c>
      <c r="AU10" s="104">
        <v>0.0055</v>
      </c>
      <c r="AV10" s="105">
        <v>385811.8306036428</v>
      </c>
      <c r="AW10" s="106">
        <f t="shared" si="10"/>
        <v>1.507401319</v>
      </c>
      <c r="AX10" s="90" t="s">
        <v>118</v>
      </c>
      <c r="AY10" s="107">
        <v>0.0</v>
      </c>
      <c r="AZ10" s="108">
        <f t="shared" si="11"/>
        <v>0</v>
      </c>
      <c r="BA10" s="109">
        <f t="shared" si="12"/>
        <v>1.507401319</v>
      </c>
      <c r="BB10" s="110">
        <f t="shared" ref="BB10:BF10" si="20">+IFERROR( $AZ10 * CB10, 0 )</f>
        <v>0</v>
      </c>
      <c r="BC10" s="110">
        <f t="shared" si="20"/>
        <v>0</v>
      </c>
      <c r="BD10" s="110">
        <f t="shared" si="20"/>
        <v>0</v>
      </c>
      <c r="BE10" s="110">
        <f t="shared" si="20"/>
        <v>0</v>
      </c>
      <c r="BF10" s="111">
        <f t="shared" si="20"/>
        <v>0</v>
      </c>
      <c r="BG10" s="112">
        <v>148.0</v>
      </c>
      <c r="BH10" s="113"/>
      <c r="BI10" s="114" t="s">
        <v>27</v>
      </c>
      <c r="BJ10" s="115">
        <v>20.0</v>
      </c>
      <c r="BK10" s="116" t="s">
        <v>111</v>
      </c>
      <c r="BL10" s="117">
        <v>0.027</v>
      </c>
      <c r="BM10" s="118">
        <v>14.0</v>
      </c>
      <c r="BN10" s="119"/>
      <c r="BO10" s="120">
        <v>3583.2299999999996</v>
      </c>
      <c r="BP10" s="28">
        <v>0.04</v>
      </c>
      <c r="BQ10" s="43">
        <f t="shared" si="14"/>
        <v>15432.47322</v>
      </c>
      <c r="BR10" s="121">
        <v>45191.0</v>
      </c>
      <c r="BS10" s="122">
        <v>196.0</v>
      </c>
      <c r="BT10" s="123">
        <v>45414.0</v>
      </c>
      <c r="BU10" s="123">
        <v>45412.0</v>
      </c>
      <c r="BV10" s="123">
        <v>0.0</v>
      </c>
      <c r="BW10" s="123">
        <v>0.0</v>
      </c>
      <c r="BX10" s="123">
        <v>45703.0</v>
      </c>
      <c r="BY10" s="123">
        <v>46265.0</v>
      </c>
      <c r="BZ10" s="124">
        <v>45703.0</v>
      </c>
      <c r="CA10" s="45">
        <v>53539.0</v>
      </c>
      <c r="CB10" s="125">
        <v>0.7</v>
      </c>
      <c r="CC10" s="125">
        <v>0.2</v>
      </c>
      <c r="CD10" s="125" t="s">
        <v>112</v>
      </c>
      <c r="CE10" s="125" t="s">
        <v>112</v>
      </c>
      <c r="CF10" s="125">
        <v>0.1</v>
      </c>
      <c r="CG10" s="110">
        <f t="shared" ref="CG10:CK10" si="21">+IFERROR( $AV10 * CB10, 0 )</f>
        <v>270068.2814</v>
      </c>
      <c r="CH10" s="110">
        <f t="shared" si="21"/>
        <v>77162.36612</v>
      </c>
      <c r="CI10" s="110">
        <f t="shared" si="21"/>
        <v>0</v>
      </c>
      <c r="CJ10" s="110">
        <f t="shared" si="21"/>
        <v>0</v>
      </c>
      <c r="CK10" s="110">
        <f t="shared" si="21"/>
        <v>38581.18306</v>
      </c>
      <c r="CL10" s="126">
        <f t="shared" si="16"/>
        <v>385811.8306</v>
      </c>
      <c r="CM10" s="127">
        <v>49918.0</v>
      </c>
      <c r="CN10" s="128">
        <v>30.0</v>
      </c>
      <c r="CO10" s="129">
        <f t="shared" si="17"/>
        <v>10</v>
      </c>
      <c r="CP10" s="130">
        <v>252.1567436325917</v>
      </c>
      <c r="CQ10" s="131">
        <v>0.0</v>
      </c>
      <c r="CR10" s="132">
        <f t="shared" si="18"/>
        <v>252.1567436</v>
      </c>
      <c r="CS10" s="45">
        <v>57161.0</v>
      </c>
      <c r="CU10" s="8" t="s">
        <v>3</v>
      </c>
      <c r="CV10" s="30"/>
      <c r="CZ10" s="31"/>
      <c r="DA10" s="31"/>
      <c r="DC10" s="133"/>
    </row>
    <row r="11" ht="13.5" customHeight="1">
      <c r="A11" s="23">
        <v>1.0</v>
      </c>
      <c r="B11" s="87">
        <v>1.0</v>
      </c>
      <c r="C11" s="88">
        <f t="shared" si="5"/>
        <v>4</v>
      </c>
      <c r="D11" s="87"/>
      <c r="E11" s="89" t="s">
        <v>115</v>
      </c>
      <c r="F11" s="89">
        <v>1.0</v>
      </c>
      <c r="G11" s="90" t="s">
        <v>106</v>
      </c>
      <c r="H11" s="91" t="s">
        <v>116</v>
      </c>
      <c r="I11" s="92" t="s">
        <v>116</v>
      </c>
      <c r="J11" s="93"/>
      <c r="K11" s="43">
        <f t="shared" si="6"/>
        <v>0</v>
      </c>
      <c r="L11" s="92">
        <v>1.0</v>
      </c>
      <c r="M11" s="92" t="s">
        <v>119</v>
      </c>
      <c r="N11" s="94" t="str">
        <f t="shared" si="7"/>
        <v>Forvia | QUERETARO - MEX0425</v>
      </c>
      <c r="O11" s="92"/>
      <c r="P11" s="92"/>
      <c r="Q11" s="92"/>
      <c r="R11" s="92"/>
      <c r="S11" s="95">
        <v>0.5678</v>
      </c>
      <c r="T11" s="96">
        <f t="shared" si="8"/>
        <v>1704.473406</v>
      </c>
      <c r="U11" s="97">
        <v>967.8</v>
      </c>
      <c r="V11" s="98" t="s">
        <v>109</v>
      </c>
      <c r="W11" s="99">
        <v>80649.99999999999</v>
      </c>
      <c r="X11" s="100">
        <v>80649.99999999999</v>
      </c>
      <c r="Y11" s="100">
        <v>80649.99999999999</v>
      </c>
      <c r="Z11" s="100">
        <v>80649.99999999999</v>
      </c>
      <c r="AA11" s="100">
        <v>80649.99999999999</v>
      </c>
      <c r="AB11" s="100">
        <v>80649.99999999999</v>
      </c>
      <c r="AC11" s="100">
        <v>80649.99999999999</v>
      </c>
      <c r="AD11" s="100">
        <v>80649.99999999999</v>
      </c>
      <c r="AE11" s="100">
        <v>80649.99999999999</v>
      </c>
      <c r="AF11" s="100">
        <v>80649.99999999999</v>
      </c>
      <c r="AG11" s="100">
        <v>80649.99999999999</v>
      </c>
      <c r="AH11" s="101">
        <v>80649.99999999999</v>
      </c>
      <c r="AI11" s="102">
        <f t="shared" ref="AI11:AT11" si="22">+ W11 * ( 1 + $AJ$3 )</f>
        <v>80650</v>
      </c>
      <c r="AJ11" s="103">
        <f t="shared" si="22"/>
        <v>80650</v>
      </c>
      <c r="AK11" s="103">
        <f t="shared" si="22"/>
        <v>80650</v>
      </c>
      <c r="AL11" s="103">
        <f t="shared" si="22"/>
        <v>80650</v>
      </c>
      <c r="AM11" s="103">
        <f t="shared" si="22"/>
        <v>80650</v>
      </c>
      <c r="AN11" s="103">
        <f t="shared" si="22"/>
        <v>80650</v>
      </c>
      <c r="AO11" s="103">
        <f t="shared" si="22"/>
        <v>80650</v>
      </c>
      <c r="AP11" s="103">
        <f t="shared" si="22"/>
        <v>80650</v>
      </c>
      <c r="AQ11" s="103">
        <f t="shared" si="22"/>
        <v>80650</v>
      </c>
      <c r="AR11" s="103">
        <f t="shared" si="22"/>
        <v>80650</v>
      </c>
      <c r="AS11" s="103">
        <f t="shared" si="22"/>
        <v>80650</v>
      </c>
      <c r="AT11" s="103">
        <f t="shared" si="22"/>
        <v>80650</v>
      </c>
      <c r="AU11" s="104">
        <v>0.0055</v>
      </c>
      <c r="AV11" s="105">
        <v>725970.8813340476</v>
      </c>
      <c r="AW11" s="106">
        <f t="shared" si="10"/>
        <v>1.278567949</v>
      </c>
      <c r="AX11" s="90" t="s">
        <v>118</v>
      </c>
      <c r="AY11" s="107">
        <v>0.0</v>
      </c>
      <c r="AZ11" s="108">
        <f t="shared" si="11"/>
        <v>0</v>
      </c>
      <c r="BA11" s="109">
        <f t="shared" si="12"/>
        <v>1.278567949</v>
      </c>
      <c r="BB11" s="110">
        <f t="shared" ref="BB11:BF11" si="23">+IFERROR( $AZ11 * CB11, 0 )</f>
        <v>0</v>
      </c>
      <c r="BC11" s="110">
        <f t="shared" si="23"/>
        <v>0</v>
      </c>
      <c r="BD11" s="110">
        <f t="shared" si="23"/>
        <v>0</v>
      </c>
      <c r="BE11" s="110">
        <f t="shared" si="23"/>
        <v>0</v>
      </c>
      <c r="BF11" s="111">
        <f t="shared" si="23"/>
        <v>0</v>
      </c>
      <c r="BG11" s="112">
        <v>125.0</v>
      </c>
      <c r="BH11" s="113"/>
      <c r="BI11" s="114" t="s">
        <v>27</v>
      </c>
      <c r="BJ11" s="115">
        <v>20.0</v>
      </c>
      <c r="BK11" s="116" t="s">
        <v>111</v>
      </c>
      <c r="BL11" s="117">
        <v>0.027</v>
      </c>
      <c r="BM11" s="118">
        <v>14.0</v>
      </c>
      <c r="BN11" s="119"/>
      <c r="BO11" s="120">
        <v>7949.2</v>
      </c>
      <c r="BP11" s="28">
        <v>0.04</v>
      </c>
      <c r="BQ11" s="43">
        <f t="shared" si="14"/>
        <v>29038.83525</v>
      </c>
      <c r="BR11" s="121">
        <v>45191.0</v>
      </c>
      <c r="BS11" s="122">
        <v>196.0</v>
      </c>
      <c r="BT11" s="123">
        <v>45414.0</v>
      </c>
      <c r="BU11" s="123">
        <v>45419.0</v>
      </c>
      <c r="BV11" s="123">
        <v>0.0</v>
      </c>
      <c r="BW11" s="123">
        <v>0.0</v>
      </c>
      <c r="BX11" s="123">
        <v>45779.0</v>
      </c>
      <c r="BY11" s="123">
        <v>46173.0</v>
      </c>
      <c r="BZ11" s="124">
        <v>45779.0</v>
      </c>
      <c r="CA11" s="45">
        <v>53447.0</v>
      </c>
      <c r="CB11" s="125">
        <v>0.7</v>
      </c>
      <c r="CC11" s="125">
        <v>0.2</v>
      </c>
      <c r="CD11" s="125" t="s">
        <v>112</v>
      </c>
      <c r="CE11" s="125" t="s">
        <v>112</v>
      </c>
      <c r="CF11" s="125">
        <v>0.1</v>
      </c>
      <c r="CG11" s="110">
        <f t="shared" ref="CG11:CK11" si="24">+IFERROR( $AV11 * CB11, 0 )</f>
        <v>508179.6169</v>
      </c>
      <c r="CH11" s="110">
        <f t="shared" si="24"/>
        <v>145194.1763</v>
      </c>
      <c r="CI11" s="110">
        <f t="shared" si="24"/>
        <v>0</v>
      </c>
      <c r="CJ11" s="110">
        <f t="shared" si="24"/>
        <v>0</v>
      </c>
      <c r="CK11" s="110">
        <f t="shared" si="24"/>
        <v>72597.08813</v>
      </c>
      <c r="CL11" s="126">
        <f t="shared" si="16"/>
        <v>725970.8813</v>
      </c>
      <c r="CM11" s="127">
        <v>49826.0</v>
      </c>
      <c r="CN11" s="128">
        <v>30.0</v>
      </c>
      <c r="CO11" s="129">
        <f t="shared" si="17"/>
        <v>10</v>
      </c>
      <c r="CP11" s="130">
        <v>212.9702226626619</v>
      </c>
      <c r="CQ11" s="131">
        <v>0.0</v>
      </c>
      <c r="CR11" s="132">
        <f t="shared" si="18"/>
        <v>212.9702227</v>
      </c>
      <c r="CS11" s="45">
        <v>57070.0</v>
      </c>
      <c r="CU11" s="8" t="s">
        <v>3</v>
      </c>
      <c r="CV11" s="30"/>
      <c r="CZ11" s="31"/>
      <c r="DA11" s="31"/>
      <c r="DC11" s="133"/>
    </row>
    <row r="12" ht="13.5" customHeight="1">
      <c r="A12" s="23">
        <v>2.0</v>
      </c>
      <c r="B12" s="87">
        <v>1.0</v>
      </c>
      <c r="C12" s="88">
        <f t="shared" si="5"/>
        <v>5</v>
      </c>
      <c r="D12" s="87"/>
      <c r="E12" s="89" t="s">
        <v>115</v>
      </c>
      <c r="F12" s="89">
        <v>1.0</v>
      </c>
      <c r="G12" s="90" t="s">
        <v>106</v>
      </c>
      <c r="H12" s="91" t="s">
        <v>116</v>
      </c>
      <c r="I12" s="92" t="s">
        <v>116</v>
      </c>
      <c r="J12" s="93"/>
      <c r="K12" s="43">
        <f t="shared" si="6"/>
        <v>0</v>
      </c>
      <c r="L12" s="92">
        <v>1.0</v>
      </c>
      <c r="M12" s="92" t="s">
        <v>120</v>
      </c>
      <c r="N12" s="94" t="str">
        <f t="shared" si="7"/>
        <v>Forvia | SAN LUIS POTOSI - MEX0430</v>
      </c>
      <c r="O12" s="92"/>
      <c r="P12" s="92"/>
      <c r="Q12" s="92"/>
      <c r="R12" s="92"/>
      <c r="S12" s="95">
        <v>0.6238</v>
      </c>
      <c r="T12" s="96">
        <f t="shared" si="8"/>
        <v>1620.170567</v>
      </c>
      <c r="U12" s="97">
        <v>1010.6624</v>
      </c>
      <c r="V12" s="98" t="s">
        <v>109</v>
      </c>
      <c r="W12" s="99">
        <v>84221.86666666667</v>
      </c>
      <c r="X12" s="100">
        <v>84221.86666666667</v>
      </c>
      <c r="Y12" s="100">
        <v>84221.86666666667</v>
      </c>
      <c r="Z12" s="100">
        <v>84221.86666666667</v>
      </c>
      <c r="AA12" s="100">
        <v>84221.86666666667</v>
      </c>
      <c r="AB12" s="100">
        <v>84221.86666666667</v>
      </c>
      <c r="AC12" s="100">
        <v>84221.86666666667</v>
      </c>
      <c r="AD12" s="100">
        <v>84221.86666666667</v>
      </c>
      <c r="AE12" s="100">
        <v>84221.86666666667</v>
      </c>
      <c r="AF12" s="100">
        <v>84221.86666666667</v>
      </c>
      <c r="AG12" s="100">
        <v>84221.86666666667</v>
      </c>
      <c r="AH12" s="101">
        <v>84221.86666666667</v>
      </c>
      <c r="AI12" s="102">
        <f t="shared" ref="AI12:AT12" si="25">+ W12 * ( 1 + $AJ$3 )</f>
        <v>84221.86667</v>
      </c>
      <c r="AJ12" s="103">
        <f t="shared" si="25"/>
        <v>84221.86667</v>
      </c>
      <c r="AK12" s="103">
        <f t="shared" si="25"/>
        <v>84221.86667</v>
      </c>
      <c r="AL12" s="103">
        <f t="shared" si="25"/>
        <v>84221.86667</v>
      </c>
      <c r="AM12" s="103">
        <f t="shared" si="25"/>
        <v>84221.86667</v>
      </c>
      <c r="AN12" s="103">
        <f t="shared" si="25"/>
        <v>84221.86667</v>
      </c>
      <c r="AO12" s="103">
        <f t="shared" si="25"/>
        <v>84221.86667</v>
      </c>
      <c r="AP12" s="103">
        <f t="shared" si="25"/>
        <v>84221.86667</v>
      </c>
      <c r="AQ12" s="103">
        <f t="shared" si="25"/>
        <v>84221.86667</v>
      </c>
      <c r="AR12" s="103">
        <f t="shared" si="25"/>
        <v>84221.86667</v>
      </c>
      <c r="AS12" s="103">
        <f t="shared" si="25"/>
        <v>84221.86667</v>
      </c>
      <c r="AT12" s="103">
        <f t="shared" si="25"/>
        <v>84221.86667</v>
      </c>
      <c r="AU12" s="104">
        <v>0.0055</v>
      </c>
      <c r="AV12" s="105">
        <v>708027.0949837858</v>
      </c>
      <c r="AW12" s="106">
        <f t="shared" si="10"/>
        <v>1.135022595</v>
      </c>
      <c r="AX12" s="90" t="s">
        <v>118</v>
      </c>
      <c r="AY12" s="107">
        <v>0.0</v>
      </c>
      <c r="AZ12" s="108">
        <f t="shared" si="11"/>
        <v>0</v>
      </c>
      <c r="BA12" s="109">
        <f t="shared" si="12"/>
        <v>1.135022595</v>
      </c>
      <c r="BB12" s="110">
        <f t="shared" ref="BB12:BF12" si="26">+IFERROR( $AZ12 * CB12, 0 )</f>
        <v>0</v>
      </c>
      <c r="BC12" s="110">
        <f t="shared" si="26"/>
        <v>0</v>
      </c>
      <c r="BD12" s="110">
        <f t="shared" si="26"/>
        <v>0</v>
      </c>
      <c r="BE12" s="110">
        <f t="shared" si="26"/>
        <v>0</v>
      </c>
      <c r="BF12" s="111">
        <f t="shared" si="26"/>
        <v>0</v>
      </c>
      <c r="BG12" s="112">
        <v>104.0</v>
      </c>
      <c r="BH12" s="113"/>
      <c r="BI12" s="114" t="s">
        <v>27</v>
      </c>
      <c r="BJ12" s="115">
        <v>20.0</v>
      </c>
      <c r="BK12" s="116" t="s">
        <v>111</v>
      </c>
      <c r="BL12" s="117">
        <v>0.027</v>
      </c>
      <c r="BM12" s="118">
        <v>14.0</v>
      </c>
      <c r="BN12" s="119"/>
      <c r="BO12" s="120">
        <v>8733.2</v>
      </c>
      <c r="BP12" s="28">
        <v>0.04</v>
      </c>
      <c r="BQ12" s="43">
        <f t="shared" si="14"/>
        <v>28321.0838</v>
      </c>
      <c r="BR12" s="121">
        <v>45191.0</v>
      </c>
      <c r="BS12" s="122">
        <v>196.0</v>
      </c>
      <c r="BT12" s="123">
        <v>45414.0</v>
      </c>
      <c r="BU12" s="123">
        <v>45419.0</v>
      </c>
      <c r="BV12" s="123">
        <v>0.0</v>
      </c>
      <c r="BW12" s="123">
        <v>0.0</v>
      </c>
      <c r="BX12" s="123">
        <v>46037.0</v>
      </c>
      <c r="BY12" s="123">
        <v>46265.0</v>
      </c>
      <c r="BZ12" s="124">
        <v>46037.0</v>
      </c>
      <c r="CA12" s="45">
        <v>53539.0</v>
      </c>
      <c r="CB12" s="125">
        <v>0.7</v>
      </c>
      <c r="CC12" s="125">
        <v>0.2</v>
      </c>
      <c r="CD12" s="125" t="s">
        <v>112</v>
      </c>
      <c r="CE12" s="125" t="s">
        <v>112</v>
      </c>
      <c r="CF12" s="125">
        <v>0.1</v>
      </c>
      <c r="CG12" s="110">
        <f t="shared" ref="CG12:CK12" si="27">+IFERROR( $AV12 * CB12, 0 )</f>
        <v>495618.9665</v>
      </c>
      <c r="CH12" s="110">
        <f t="shared" si="27"/>
        <v>141605.419</v>
      </c>
      <c r="CI12" s="110">
        <f t="shared" si="27"/>
        <v>0</v>
      </c>
      <c r="CJ12" s="110">
        <f t="shared" si="27"/>
        <v>0</v>
      </c>
      <c r="CK12" s="110">
        <f t="shared" si="27"/>
        <v>70802.7095</v>
      </c>
      <c r="CL12" s="126">
        <f t="shared" si="16"/>
        <v>708027.095</v>
      </c>
      <c r="CM12" s="127">
        <v>49918.0</v>
      </c>
      <c r="CN12" s="128">
        <v>30.0</v>
      </c>
      <c r="CO12" s="129">
        <f t="shared" si="17"/>
        <v>10</v>
      </c>
      <c r="CP12" s="130">
        <v>177.1912252553347</v>
      </c>
      <c r="CQ12" s="131">
        <v>0.0</v>
      </c>
      <c r="CR12" s="132">
        <f t="shared" si="18"/>
        <v>177.1912253</v>
      </c>
      <c r="CS12" s="45">
        <v>57161.0</v>
      </c>
      <c r="CU12" s="8" t="s">
        <v>3</v>
      </c>
      <c r="CV12" s="30"/>
      <c r="CZ12" s="31"/>
      <c r="DA12" s="31"/>
      <c r="DC12" s="133"/>
    </row>
    <row r="13" ht="13.5" customHeight="1">
      <c r="A13" s="23">
        <v>1.0</v>
      </c>
      <c r="B13" s="87">
        <v>1.0</v>
      </c>
      <c r="C13" s="88">
        <f t="shared" si="5"/>
        <v>6</v>
      </c>
      <c r="D13" s="87"/>
      <c r="E13" s="89" t="s">
        <v>115</v>
      </c>
      <c r="F13" s="89">
        <v>1.0</v>
      </c>
      <c r="G13" s="90" t="s">
        <v>106</v>
      </c>
      <c r="H13" s="91" t="s">
        <v>116</v>
      </c>
      <c r="I13" s="92" t="s">
        <v>116</v>
      </c>
      <c r="J13" s="93"/>
      <c r="K13" s="43">
        <f t="shared" si="6"/>
        <v>0</v>
      </c>
      <c r="L13" s="92">
        <v>1.0</v>
      </c>
      <c r="M13" s="92" t="s">
        <v>121</v>
      </c>
      <c r="N13" s="94" t="str">
        <f t="shared" si="7"/>
        <v>Forvia | SILAO - MEX0432</v>
      </c>
      <c r="O13" s="92"/>
      <c r="P13" s="92"/>
      <c r="Q13" s="92"/>
      <c r="R13" s="92"/>
      <c r="S13" s="95">
        <v>0.6249</v>
      </c>
      <c r="T13" s="96">
        <f t="shared" si="8"/>
        <v>1672.005761</v>
      </c>
      <c r="U13" s="97">
        <v>1044.8364000000001</v>
      </c>
      <c r="V13" s="98" t="s">
        <v>109</v>
      </c>
      <c r="W13" s="99">
        <v>87069.70000000001</v>
      </c>
      <c r="X13" s="100">
        <v>87069.70000000001</v>
      </c>
      <c r="Y13" s="100">
        <v>87069.70000000001</v>
      </c>
      <c r="Z13" s="100">
        <v>87069.70000000001</v>
      </c>
      <c r="AA13" s="100">
        <v>87069.70000000001</v>
      </c>
      <c r="AB13" s="100">
        <v>87069.70000000001</v>
      </c>
      <c r="AC13" s="100">
        <v>87069.70000000001</v>
      </c>
      <c r="AD13" s="100">
        <v>87069.70000000001</v>
      </c>
      <c r="AE13" s="100">
        <v>87069.70000000001</v>
      </c>
      <c r="AF13" s="100">
        <v>87069.70000000001</v>
      </c>
      <c r="AG13" s="100">
        <v>87069.70000000001</v>
      </c>
      <c r="AH13" s="101">
        <v>87069.70000000001</v>
      </c>
      <c r="AI13" s="102">
        <f t="shared" ref="AI13:AT13" si="28">+ W13 * ( 1 + $AJ$3 )</f>
        <v>87069.7</v>
      </c>
      <c r="AJ13" s="103">
        <f t="shared" si="28"/>
        <v>87069.7</v>
      </c>
      <c r="AK13" s="103">
        <f t="shared" si="28"/>
        <v>87069.7</v>
      </c>
      <c r="AL13" s="103">
        <f t="shared" si="28"/>
        <v>87069.7</v>
      </c>
      <c r="AM13" s="103">
        <f t="shared" si="28"/>
        <v>87069.7</v>
      </c>
      <c r="AN13" s="103">
        <f t="shared" si="28"/>
        <v>87069.7</v>
      </c>
      <c r="AO13" s="103">
        <f t="shared" si="28"/>
        <v>87069.7</v>
      </c>
      <c r="AP13" s="103">
        <f t="shared" si="28"/>
        <v>87069.7</v>
      </c>
      <c r="AQ13" s="103">
        <f t="shared" si="28"/>
        <v>87069.7</v>
      </c>
      <c r="AR13" s="103">
        <f t="shared" si="28"/>
        <v>87069.7</v>
      </c>
      <c r="AS13" s="103">
        <f t="shared" si="28"/>
        <v>87069.7</v>
      </c>
      <c r="AT13" s="103">
        <f t="shared" si="28"/>
        <v>87069.7</v>
      </c>
      <c r="AU13" s="104">
        <v>0.0055</v>
      </c>
      <c r="AV13" s="105">
        <v>582207.5970561429</v>
      </c>
      <c r="AW13" s="106">
        <f t="shared" si="10"/>
        <v>0.9316812243</v>
      </c>
      <c r="AX13" s="90" t="s">
        <v>122</v>
      </c>
      <c r="AY13" s="107">
        <v>0.0</v>
      </c>
      <c r="AZ13" s="108">
        <f t="shared" si="11"/>
        <v>0</v>
      </c>
      <c r="BA13" s="109">
        <f t="shared" si="12"/>
        <v>0.9316812243</v>
      </c>
      <c r="BB13" s="110">
        <f t="shared" ref="BB13:BF13" si="29">+IFERROR( $AZ13 * CB13, 0 )</f>
        <v>0</v>
      </c>
      <c r="BC13" s="110">
        <f t="shared" si="29"/>
        <v>0</v>
      </c>
      <c r="BD13" s="110">
        <f t="shared" si="29"/>
        <v>0</v>
      </c>
      <c r="BE13" s="110">
        <f t="shared" si="29"/>
        <v>0</v>
      </c>
      <c r="BF13" s="111">
        <f t="shared" si="29"/>
        <v>0</v>
      </c>
      <c r="BG13" s="112">
        <v>125.0</v>
      </c>
      <c r="BH13" s="113"/>
      <c r="BI13" s="114" t="s">
        <v>27</v>
      </c>
      <c r="BJ13" s="115">
        <v>20.0</v>
      </c>
      <c r="BK13" s="116" t="s">
        <v>111</v>
      </c>
      <c r="BL13" s="117">
        <v>0.027</v>
      </c>
      <c r="BM13" s="118">
        <v>14.0</v>
      </c>
      <c r="BN13" s="119"/>
      <c r="BO13" s="120">
        <v>8748.6</v>
      </c>
      <c r="BP13" s="28">
        <v>0.04</v>
      </c>
      <c r="BQ13" s="43">
        <f t="shared" si="14"/>
        <v>23288.30388</v>
      </c>
      <c r="BR13" s="121">
        <v>45191.0</v>
      </c>
      <c r="BS13" s="122">
        <v>252.0</v>
      </c>
      <c r="BT13" s="123">
        <v>45414.0</v>
      </c>
      <c r="BU13" s="123">
        <v>45412.0</v>
      </c>
      <c r="BV13" s="123">
        <v>0.0</v>
      </c>
      <c r="BW13" s="123">
        <v>0.0</v>
      </c>
      <c r="BX13" s="123">
        <v>45579.0</v>
      </c>
      <c r="BY13" s="123">
        <v>46234.0</v>
      </c>
      <c r="BZ13" s="124">
        <v>45579.0</v>
      </c>
      <c r="CA13" s="45">
        <v>53508.0</v>
      </c>
      <c r="CB13" s="125">
        <v>0.7</v>
      </c>
      <c r="CC13" s="125">
        <v>0.2</v>
      </c>
      <c r="CD13" s="125" t="s">
        <v>112</v>
      </c>
      <c r="CE13" s="125" t="s">
        <v>112</v>
      </c>
      <c r="CF13" s="125">
        <v>0.1</v>
      </c>
      <c r="CG13" s="110">
        <f t="shared" ref="CG13:CK13" si="30">+IFERROR( $AV13 * CB13, 0 )</f>
        <v>407545.3179</v>
      </c>
      <c r="CH13" s="110">
        <f t="shared" si="30"/>
        <v>116441.5194</v>
      </c>
      <c r="CI13" s="110">
        <f t="shared" si="30"/>
        <v>0</v>
      </c>
      <c r="CJ13" s="110">
        <f t="shared" si="30"/>
        <v>0</v>
      </c>
      <c r="CK13" s="110">
        <f t="shared" si="30"/>
        <v>58220.75971</v>
      </c>
      <c r="CL13" s="126">
        <f t="shared" si="16"/>
        <v>582207.5971</v>
      </c>
      <c r="CM13" s="127">
        <v>49887.0</v>
      </c>
      <c r="CN13" s="128">
        <v>30.0</v>
      </c>
      <c r="CO13" s="129">
        <f t="shared" si="17"/>
        <v>10</v>
      </c>
      <c r="CP13" s="130">
        <v>212.9702226626619</v>
      </c>
      <c r="CQ13" s="131">
        <v>0.0</v>
      </c>
      <c r="CR13" s="132">
        <f t="shared" si="18"/>
        <v>212.9702227</v>
      </c>
      <c r="CS13" s="45">
        <v>57131.0</v>
      </c>
      <c r="CU13" s="8" t="s">
        <v>3</v>
      </c>
      <c r="CV13" s="30"/>
      <c r="CZ13" s="31"/>
      <c r="DA13" s="31"/>
      <c r="DC13" s="133"/>
    </row>
    <row r="14" ht="13.5" customHeight="1">
      <c r="A14" s="23">
        <v>1.0</v>
      </c>
      <c r="B14" s="87">
        <v>1.0</v>
      </c>
      <c r="C14" s="88">
        <f t="shared" si="5"/>
        <v>7</v>
      </c>
      <c r="D14" s="87"/>
      <c r="E14" s="89" t="s">
        <v>115</v>
      </c>
      <c r="F14" s="89">
        <v>1.0</v>
      </c>
      <c r="G14" s="90" t="s">
        <v>106</v>
      </c>
      <c r="H14" s="91" t="s">
        <v>116</v>
      </c>
      <c r="I14" s="92" t="s">
        <v>116</v>
      </c>
      <c r="J14" s="93"/>
      <c r="K14" s="43">
        <f t="shared" si="6"/>
        <v>0</v>
      </c>
      <c r="L14" s="92">
        <v>1.0</v>
      </c>
      <c r="M14" s="92" t="s">
        <v>123</v>
      </c>
      <c r="N14" s="94" t="str">
        <f t="shared" si="7"/>
        <v>Forvia | PUEBLA - MEX0739</v>
      </c>
      <c r="O14" s="92"/>
      <c r="P14" s="92"/>
      <c r="Q14" s="92"/>
      <c r="R14" s="92"/>
      <c r="S14" s="95">
        <v>0.49494</v>
      </c>
      <c r="T14" s="96">
        <f t="shared" si="8"/>
        <v>1551.905281</v>
      </c>
      <c r="U14" s="97">
        <v>768.1</v>
      </c>
      <c r="V14" s="98" t="s">
        <v>109</v>
      </c>
      <c r="W14" s="99">
        <v>64008.33333333334</v>
      </c>
      <c r="X14" s="100">
        <v>64008.33333333334</v>
      </c>
      <c r="Y14" s="100">
        <v>64008.33333333334</v>
      </c>
      <c r="Z14" s="100">
        <v>64008.33333333334</v>
      </c>
      <c r="AA14" s="100">
        <v>64008.33333333334</v>
      </c>
      <c r="AB14" s="100">
        <v>64008.33333333334</v>
      </c>
      <c r="AC14" s="100">
        <v>64008.33333333334</v>
      </c>
      <c r="AD14" s="100">
        <v>64008.33333333334</v>
      </c>
      <c r="AE14" s="100">
        <v>64008.33333333334</v>
      </c>
      <c r="AF14" s="100">
        <v>64008.33333333334</v>
      </c>
      <c r="AG14" s="100">
        <v>64008.33333333334</v>
      </c>
      <c r="AH14" s="101">
        <v>64008.33333333334</v>
      </c>
      <c r="AI14" s="102">
        <f t="shared" ref="AI14:AT14" si="31">+ W14 * ( 1 + $AJ$3 )</f>
        <v>64008.33333</v>
      </c>
      <c r="AJ14" s="103">
        <f t="shared" si="31"/>
        <v>64008.33333</v>
      </c>
      <c r="AK14" s="103">
        <f t="shared" si="31"/>
        <v>64008.33333</v>
      </c>
      <c r="AL14" s="103">
        <f t="shared" si="31"/>
        <v>64008.33333</v>
      </c>
      <c r="AM14" s="103">
        <f t="shared" si="31"/>
        <v>64008.33333</v>
      </c>
      <c r="AN14" s="103">
        <f t="shared" si="31"/>
        <v>64008.33333</v>
      </c>
      <c r="AO14" s="103">
        <f t="shared" si="31"/>
        <v>64008.33333</v>
      </c>
      <c r="AP14" s="103">
        <f t="shared" si="31"/>
        <v>64008.33333</v>
      </c>
      <c r="AQ14" s="103">
        <f t="shared" si="31"/>
        <v>64008.33333</v>
      </c>
      <c r="AR14" s="103">
        <f t="shared" si="31"/>
        <v>64008.33333</v>
      </c>
      <c r="AS14" s="103">
        <f t="shared" si="31"/>
        <v>64008.33333</v>
      </c>
      <c r="AT14" s="103">
        <f t="shared" si="31"/>
        <v>64008.33333</v>
      </c>
      <c r="AU14" s="104">
        <v>0.0055</v>
      </c>
      <c r="AV14" s="105">
        <v>712592.5512279285</v>
      </c>
      <c r="AW14" s="106">
        <f t="shared" si="10"/>
        <v>1.439755427</v>
      </c>
      <c r="AX14" s="90" t="s">
        <v>118</v>
      </c>
      <c r="AY14" s="107">
        <v>0.0</v>
      </c>
      <c r="AZ14" s="108">
        <f t="shared" si="11"/>
        <v>0</v>
      </c>
      <c r="BA14" s="109">
        <f t="shared" si="12"/>
        <v>1.439755427</v>
      </c>
      <c r="BB14" s="110">
        <f t="shared" ref="BB14:BF14" si="32">+IFERROR( $AZ14 * CB14, 0 )</f>
        <v>0</v>
      </c>
      <c r="BC14" s="110">
        <f t="shared" si="32"/>
        <v>0</v>
      </c>
      <c r="BD14" s="110">
        <f t="shared" si="32"/>
        <v>0</v>
      </c>
      <c r="BE14" s="110">
        <f t="shared" si="32"/>
        <v>0</v>
      </c>
      <c r="BF14" s="111">
        <f t="shared" si="32"/>
        <v>0</v>
      </c>
      <c r="BG14" s="112">
        <v>125.0</v>
      </c>
      <c r="BH14" s="113"/>
      <c r="BI14" s="114" t="s">
        <v>27</v>
      </c>
      <c r="BJ14" s="115">
        <v>20.0</v>
      </c>
      <c r="BK14" s="116" t="s">
        <v>124</v>
      </c>
      <c r="BL14" s="117">
        <v>0.027999999999999997</v>
      </c>
      <c r="BM14" s="118">
        <v>14.0</v>
      </c>
      <c r="BN14" s="119"/>
      <c r="BO14" s="120">
        <v>6929.16</v>
      </c>
      <c r="BP14" s="28">
        <v>0.04</v>
      </c>
      <c r="BQ14" s="43">
        <f t="shared" si="14"/>
        <v>28503.70205</v>
      </c>
      <c r="BR14" s="121">
        <v>45191.0</v>
      </c>
      <c r="BS14" s="122">
        <v>252.0</v>
      </c>
      <c r="BT14" s="123">
        <v>45414.0</v>
      </c>
      <c r="BU14" s="123">
        <v>45412.0</v>
      </c>
      <c r="BV14" s="123">
        <v>0.0</v>
      </c>
      <c r="BW14" s="123">
        <v>0.0</v>
      </c>
      <c r="BX14" s="123">
        <v>45605.0</v>
      </c>
      <c r="BY14" s="123">
        <v>46265.0</v>
      </c>
      <c r="BZ14" s="124">
        <v>45605.0</v>
      </c>
      <c r="CA14" s="45">
        <v>53539.0</v>
      </c>
      <c r="CB14" s="125">
        <v>0.7</v>
      </c>
      <c r="CC14" s="125">
        <v>0.2</v>
      </c>
      <c r="CD14" s="125" t="s">
        <v>112</v>
      </c>
      <c r="CE14" s="125" t="s">
        <v>112</v>
      </c>
      <c r="CF14" s="125">
        <v>0.1</v>
      </c>
      <c r="CG14" s="110">
        <f t="shared" ref="CG14:CK14" si="33">+IFERROR( $AV14 * CB14, 0 )</f>
        <v>498814.7859</v>
      </c>
      <c r="CH14" s="110">
        <f t="shared" si="33"/>
        <v>142518.5102</v>
      </c>
      <c r="CI14" s="110">
        <f t="shared" si="33"/>
        <v>0</v>
      </c>
      <c r="CJ14" s="110">
        <f t="shared" si="33"/>
        <v>0</v>
      </c>
      <c r="CK14" s="110">
        <f t="shared" si="33"/>
        <v>71259.25512</v>
      </c>
      <c r="CL14" s="126">
        <f t="shared" si="16"/>
        <v>712592.5512</v>
      </c>
      <c r="CM14" s="127">
        <v>49918.0</v>
      </c>
      <c r="CN14" s="128">
        <v>30.0</v>
      </c>
      <c r="CO14" s="129">
        <f t="shared" si="17"/>
        <v>10</v>
      </c>
      <c r="CP14" s="130">
        <v>235.3490014998755</v>
      </c>
      <c r="CQ14" s="131">
        <v>0.0</v>
      </c>
      <c r="CR14" s="132">
        <f t="shared" si="18"/>
        <v>235.3490015</v>
      </c>
      <c r="CS14" s="45">
        <v>57161.0</v>
      </c>
      <c r="CU14" s="8" t="s">
        <v>3</v>
      </c>
      <c r="CV14" s="30"/>
      <c r="CZ14" s="31"/>
      <c r="DA14" s="31"/>
      <c r="DC14" s="133"/>
    </row>
    <row r="15" ht="13.5" customHeight="1">
      <c r="A15" s="23">
        <v>2.0</v>
      </c>
      <c r="B15" s="87">
        <v>1.0</v>
      </c>
      <c r="C15" s="88">
        <f t="shared" si="5"/>
        <v>8</v>
      </c>
      <c r="D15" s="87"/>
      <c r="E15" s="89" t="s">
        <v>115</v>
      </c>
      <c r="F15" s="89">
        <v>1.0</v>
      </c>
      <c r="G15" s="90" t="s">
        <v>106</v>
      </c>
      <c r="H15" s="91" t="s">
        <v>116</v>
      </c>
      <c r="I15" s="92" t="s">
        <v>116</v>
      </c>
      <c r="J15" s="93"/>
      <c r="K15" s="43">
        <f t="shared" si="6"/>
        <v>0</v>
      </c>
      <c r="L15" s="92">
        <v>1.0</v>
      </c>
      <c r="M15" s="92" t="s">
        <v>125</v>
      </c>
      <c r="N15" s="94" t="str">
        <f t="shared" si="7"/>
        <v>Forvia | PUEBLA - MEX0821</v>
      </c>
      <c r="O15" s="92"/>
      <c r="P15" s="92"/>
      <c r="Q15" s="92"/>
      <c r="R15" s="92"/>
      <c r="S15" s="95">
        <v>0.3865</v>
      </c>
      <c r="T15" s="96">
        <f t="shared" si="8"/>
        <v>1549.029754</v>
      </c>
      <c r="U15" s="97">
        <v>598.7</v>
      </c>
      <c r="V15" s="98" t="s">
        <v>109</v>
      </c>
      <c r="W15" s="99">
        <v>49891.66666666667</v>
      </c>
      <c r="X15" s="100">
        <v>49891.66666666667</v>
      </c>
      <c r="Y15" s="100">
        <v>49891.66666666667</v>
      </c>
      <c r="Z15" s="100">
        <v>49891.66666666667</v>
      </c>
      <c r="AA15" s="100">
        <v>49891.66666666667</v>
      </c>
      <c r="AB15" s="100">
        <v>49891.66666666667</v>
      </c>
      <c r="AC15" s="100">
        <v>49891.66666666667</v>
      </c>
      <c r="AD15" s="100">
        <v>49891.66666666667</v>
      </c>
      <c r="AE15" s="100">
        <v>49891.66666666667</v>
      </c>
      <c r="AF15" s="100">
        <v>49891.66666666667</v>
      </c>
      <c r="AG15" s="100">
        <v>49891.66666666667</v>
      </c>
      <c r="AH15" s="101">
        <v>49891.66666666667</v>
      </c>
      <c r="AI15" s="102">
        <f t="shared" ref="AI15:AT15" si="34">+ W15 * ( 1 + $AJ$3 )</f>
        <v>49891.66667</v>
      </c>
      <c r="AJ15" s="103">
        <f t="shared" si="34"/>
        <v>49891.66667</v>
      </c>
      <c r="AK15" s="103">
        <f t="shared" si="34"/>
        <v>49891.66667</v>
      </c>
      <c r="AL15" s="103">
        <f t="shared" si="34"/>
        <v>49891.66667</v>
      </c>
      <c r="AM15" s="103">
        <f t="shared" si="34"/>
        <v>49891.66667</v>
      </c>
      <c r="AN15" s="103">
        <f t="shared" si="34"/>
        <v>49891.66667</v>
      </c>
      <c r="AO15" s="103">
        <f t="shared" si="34"/>
        <v>49891.66667</v>
      </c>
      <c r="AP15" s="103">
        <f t="shared" si="34"/>
        <v>49891.66667</v>
      </c>
      <c r="AQ15" s="103">
        <f t="shared" si="34"/>
        <v>49891.66667</v>
      </c>
      <c r="AR15" s="103">
        <f t="shared" si="34"/>
        <v>49891.66667</v>
      </c>
      <c r="AS15" s="103">
        <f t="shared" si="34"/>
        <v>49891.66667</v>
      </c>
      <c r="AT15" s="103">
        <f t="shared" si="34"/>
        <v>49891.66667</v>
      </c>
      <c r="AU15" s="104">
        <v>0.0055</v>
      </c>
      <c r="AV15" s="105">
        <v>580109.5338029762</v>
      </c>
      <c r="AW15" s="106">
        <f t="shared" si="10"/>
        <v>1.50093023</v>
      </c>
      <c r="AX15" s="90" t="s">
        <v>118</v>
      </c>
      <c r="AY15" s="107">
        <v>0.0</v>
      </c>
      <c r="AZ15" s="108">
        <f t="shared" si="11"/>
        <v>0</v>
      </c>
      <c r="BA15" s="109">
        <f t="shared" si="12"/>
        <v>1.50093023</v>
      </c>
      <c r="BB15" s="110">
        <f t="shared" ref="BB15:BF15" si="35">+IFERROR( $AZ15 * CB15, 0 )</f>
        <v>0</v>
      </c>
      <c r="BC15" s="110">
        <f t="shared" si="35"/>
        <v>0</v>
      </c>
      <c r="BD15" s="110">
        <f t="shared" si="35"/>
        <v>0</v>
      </c>
      <c r="BE15" s="110">
        <f t="shared" si="35"/>
        <v>0</v>
      </c>
      <c r="BF15" s="111">
        <f t="shared" si="35"/>
        <v>0</v>
      </c>
      <c r="BG15" s="112">
        <v>147.0</v>
      </c>
      <c r="BH15" s="113"/>
      <c r="BI15" s="114" t="s">
        <v>27</v>
      </c>
      <c r="BJ15" s="115">
        <v>20.0</v>
      </c>
      <c r="BK15" s="116" t="s">
        <v>111</v>
      </c>
      <c r="BL15" s="117">
        <v>0.027</v>
      </c>
      <c r="BM15" s="118">
        <v>14.0</v>
      </c>
      <c r="BN15" s="119"/>
      <c r="BO15" s="120">
        <v>5411.000000000001</v>
      </c>
      <c r="BP15" s="28">
        <v>0.04</v>
      </c>
      <c r="BQ15" s="43">
        <f t="shared" si="14"/>
        <v>23204.38135</v>
      </c>
      <c r="BR15" s="121">
        <v>45191.0</v>
      </c>
      <c r="BS15" s="122">
        <v>224.0</v>
      </c>
      <c r="BT15" s="123">
        <v>45414.0</v>
      </c>
      <c r="BU15" s="123">
        <v>45412.0</v>
      </c>
      <c r="BV15" s="123">
        <v>0.0</v>
      </c>
      <c r="BW15" s="123">
        <v>0.0</v>
      </c>
      <c r="BX15" s="123">
        <v>45600.0</v>
      </c>
      <c r="BY15" s="123">
        <v>46265.0</v>
      </c>
      <c r="BZ15" s="124">
        <v>45600.0</v>
      </c>
      <c r="CA15" s="45">
        <v>53539.0</v>
      </c>
      <c r="CB15" s="125">
        <v>0.7</v>
      </c>
      <c r="CC15" s="125">
        <v>0.2</v>
      </c>
      <c r="CD15" s="125" t="s">
        <v>112</v>
      </c>
      <c r="CE15" s="125" t="s">
        <v>112</v>
      </c>
      <c r="CF15" s="125">
        <v>0.1</v>
      </c>
      <c r="CG15" s="110">
        <f t="shared" ref="CG15:CK15" si="36">+IFERROR( $AV15 * CB15, 0 )</f>
        <v>406076.6737</v>
      </c>
      <c r="CH15" s="110">
        <f t="shared" si="36"/>
        <v>116021.9068</v>
      </c>
      <c r="CI15" s="110">
        <f t="shared" si="36"/>
        <v>0</v>
      </c>
      <c r="CJ15" s="110">
        <f t="shared" si="36"/>
        <v>0</v>
      </c>
      <c r="CK15" s="110">
        <f t="shared" si="36"/>
        <v>58010.95338</v>
      </c>
      <c r="CL15" s="126">
        <f t="shared" si="16"/>
        <v>580109.5338</v>
      </c>
      <c r="CM15" s="127">
        <v>49918.0</v>
      </c>
      <c r="CN15" s="128">
        <v>30.0</v>
      </c>
      <c r="CO15" s="129">
        <f t="shared" si="17"/>
        <v>10</v>
      </c>
      <c r="CP15" s="130">
        <v>250.45298185129042</v>
      </c>
      <c r="CQ15" s="131">
        <v>0.0</v>
      </c>
      <c r="CR15" s="132">
        <f t="shared" si="18"/>
        <v>250.4529819</v>
      </c>
      <c r="CS15" s="45">
        <v>57161.0</v>
      </c>
      <c r="CU15" s="8" t="s">
        <v>3</v>
      </c>
      <c r="CV15" s="30"/>
      <c r="CZ15" s="31"/>
      <c r="DA15" s="31"/>
      <c r="DC15" s="133"/>
    </row>
    <row r="16" ht="13.5" customHeight="1">
      <c r="A16" s="23">
        <v>1.0</v>
      </c>
      <c r="B16" s="87">
        <v>1.0</v>
      </c>
      <c r="C16" s="88">
        <f t="shared" si="5"/>
        <v>9</v>
      </c>
      <c r="D16" s="87"/>
      <c r="E16" s="89" t="s">
        <v>115</v>
      </c>
      <c r="F16" s="89">
        <v>1.0</v>
      </c>
      <c r="G16" s="90" t="s">
        <v>106</v>
      </c>
      <c r="H16" s="91" t="s">
        <v>116</v>
      </c>
      <c r="I16" s="92" t="s">
        <v>116</v>
      </c>
      <c r="J16" s="93"/>
      <c r="K16" s="43">
        <f t="shared" si="6"/>
        <v>0</v>
      </c>
      <c r="L16" s="92">
        <v>1.0</v>
      </c>
      <c r="M16" s="92" t="s">
        <v>126</v>
      </c>
      <c r="N16" s="94" t="str">
        <f t="shared" si="7"/>
        <v>Forvia | SAN LUIS POTOSI - MEX0967</v>
      </c>
      <c r="O16" s="92"/>
      <c r="P16" s="92"/>
      <c r="Q16" s="92"/>
      <c r="R16" s="92"/>
      <c r="S16" s="95">
        <v>0.5543</v>
      </c>
      <c r="T16" s="96">
        <f t="shared" si="8"/>
        <v>1661.194299</v>
      </c>
      <c r="U16" s="97">
        <v>920.8</v>
      </c>
      <c r="V16" s="98" t="s">
        <v>109</v>
      </c>
      <c r="W16" s="99">
        <v>76733.33333333333</v>
      </c>
      <c r="X16" s="100">
        <v>76733.33333333333</v>
      </c>
      <c r="Y16" s="100">
        <v>76733.33333333333</v>
      </c>
      <c r="Z16" s="100">
        <v>76733.33333333333</v>
      </c>
      <c r="AA16" s="100">
        <v>76733.33333333333</v>
      </c>
      <c r="AB16" s="100">
        <v>76733.33333333333</v>
      </c>
      <c r="AC16" s="100">
        <v>76733.33333333333</v>
      </c>
      <c r="AD16" s="100">
        <v>76733.33333333333</v>
      </c>
      <c r="AE16" s="100">
        <v>76733.33333333333</v>
      </c>
      <c r="AF16" s="100">
        <v>76733.33333333333</v>
      </c>
      <c r="AG16" s="100">
        <v>76733.33333333333</v>
      </c>
      <c r="AH16" s="101">
        <v>76733.33333333333</v>
      </c>
      <c r="AI16" s="102">
        <f t="shared" ref="AI16:AT16" si="37">+ W16 * ( 1 + $AJ$3 )</f>
        <v>76733.33333</v>
      </c>
      <c r="AJ16" s="103">
        <f t="shared" si="37"/>
        <v>76733.33333</v>
      </c>
      <c r="AK16" s="103">
        <f t="shared" si="37"/>
        <v>76733.33333</v>
      </c>
      <c r="AL16" s="103">
        <f t="shared" si="37"/>
        <v>76733.33333</v>
      </c>
      <c r="AM16" s="103">
        <f t="shared" si="37"/>
        <v>76733.33333</v>
      </c>
      <c r="AN16" s="103">
        <f t="shared" si="37"/>
        <v>76733.33333</v>
      </c>
      <c r="AO16" s="103">
        <f t="shared" si="37"/>
        <v>76733.33333</v>
      </c>
      <c r="AP16" s="103">
        <f t="shared" si="37"/>
        <v>76733.33333</v>
      </c>
      <c r="AQ16" s="103">
        <f t="shared" si="37"/>
        <v>76733.33333</v>
      </c>
      <c r="AR16" s="103">
        <f t="shared" si="37"/>
        <v>76733.33333</v>
      </c>
      <c r="AS16" s="103">
        <f t="shared" si="37"/>
        <v>76733.33333</v>
      </c>
      <c r="AT16" s="103">
        <f t="shared" si="37"/>
        <v>76733.33333</v>
      </c>
      <c r="AU16" s="104">
        <v>0.0055</v>
      </c>
      <c r="AV16" s="105">
        <v>753654.60473</v>
      </c>
      <c r="AW16" s="106">
        <f t="shared" si="10"/>
        <v>1.3596511</v>
      </c>
      <c r="AX16" s="90" t="s">
        <v>118</v>
      </c>
      <c r="AY16" s="107">
        <v>0.0</v>
      </c>
      <c r="AZ16" s="108">
        <f t="shared" si="11"/>
        <v>0</v>
      </c>
      <c r="BA16" s="109">
        <f t="shared" si="12"/>
        <v>1.3596511</v>
      </c>
      <c r="BB16" s="110">
        <f t="shared" ref="BB16:BF16" si="38">+IFERROR( $AZ16 * CB16, 0 )</f>
        <v>0</v>
      </c>
      <c r="BC16" s="110">
        <f t="shared" si="38"/>
        <v>0</v>
      </c>
      <c r="BD16" s="110">
        <f t="shared" si="38"/>
        <v>0</v>
      </c>
      <c r="BE16" s="110">
        <f t="shared" si="38"/>
        <v>0</v>
      </c>
      <c r="BF16" s="111">
        <f t="shared" si="38"/>
        <v>0</v>
      </c>
      <c r="BG16" s="112">
        <v>125.0</v>
      </c>
      <c r="BH16" s="113"/>
      <c r="BI16" s="114" t="s">
        <v>27</v>
      </c>
      <c r="BJ16" s="115">
        <v>20.0</v>
      </c>
      <c r="BK16" s="116" t="s">
        <v>111</v>
      </c>
      <c r="BL16" s="117">
        <v>0.027</v>
      </c>
      <c r="BM16" s="118">
        <v>14.0</v>
      </c>
      <c r="BN16" s="119"/>
      <c r="BO16" s="120">
        <v>7760.2</v>
      </c>
      <c r="BP16" s="28">
        <v>0.04</v>
      </c>
      <c r="BQ16" s="43">
        <f t="shared" si="14"/>
        <v>30146.18419</v>
      </c>
      <c r="BR16" s="121">
        <v>45191.0</v>
      </c>
      <c r="BS16" s="122">
        <v>240.0</v>
      </c>
      <c r="BT16" s="123">
        <v>45414.0</v>
      </c>
      <c r="BU16" s="123">
        <v>45419.0</v>
      </c>
      <c r="BV16" s="123">
        <v>0.0</v>
      </c>
      <c r="BW16" s="123">
        <v>0.0</v>
      </c>
      <c r="BX16" s="123">
        <v>46068.0</v>
      </c>
      <c r="BY16" s="123">
        <v>46265.0</v>
      </c>
      <c r="BZ16" s="124">
        <v>46068.0</v>
      </c>
      <c r="CA16" s="45">
        <v>53539.0</v>
      </c>
      <c r="CB16" s="125">
        <v>0.7</v>
      </c>
      <c r="CC16" s="125">
        <v>0.2</v>
      </c>
      <c r="CD16" s="125" t="s">
        <v>112</v>
      </c>
      <c r="CE16" s="125" t="s">
        <v>112</v>
      </c>
      <c r="CF16" s="125">
        <v>0.1</v>
      </c>
      <c r="CG16" s="110">
        <f t="shared" ref="CG16:CK16" si="39">+IFERROR( $AV16 * CB16, 0 )</f>
        <v>527558.2233</v>
      </c>
      <c r="CH16" s="110">
        <f t="shared" si="39"/>
        <v>150730.9209</v>
      </c>
      <c r="CI16" s="110">
        <f t="shared" si="39"/>
        <v>0</v>
      </c>
      <c r="CJ16" s="110">
        <f t="shared" si="39"/>
        <v>0</v>
      </c>
      <c r="CK16" s="110">
        <f t="shared" si="39"/>
        <v>75365.46047</v>
      </c>
      <c r="CL16" s="126">
        <f t="shared" si="16"/>
        <v>753654.6047</v>
      </c>
      <c r="CM16" s="127">
        <v>49918.0</v>
      </c>
      <c r="CN16" s="128">
        <v>30.0</v>
      </c>
      <c r="CO16" s="129">
        <f t="shared" si="17"/>
        <v>10</v>
      </c>
      <c r="CP16" s="130">
        <v>212.9702226626619</v>
      </c>
      <c r="CQ16" s="131">
        <v>0.0</v>
      </c>
      <c r="CR16" s="132">
        <f t="shared" si="18"/>
        <v>212.9702227</v>
      </c>
      <c r="CS16" s="45">
        <v>57161.0</v>
      </c>
      <c r="CU16" s="8" t="s">
        <v>3</v>
      </c>
      <c r="CV16" s="30"/>
      <c r="CZ16" s="31"/>
      <c r="DA16" s="31"/>
      <c r="DC16" s="133"/>
    </row>
    <row r="17" ht="13.5" customHeight="1">
      <c r="A17" s="23">
        <v>1.0</v>
      </c>
      <c r="B17" s="87">
        <v>1.0</v>
      </c>
      <c r="C17" s="88">
        <f t="shared" si="5"/>
        <v>10</v>
      </c>
      <c r="D17" s="87"/>
      <c r="E17" s="89" t="s">
        <v>115</v>
      </c>
      <c r="F17" s="89">
        <v>1.0</v>
      </c>
      <c r="G17" s="90" t="s">
        <v>106</v>
      </c>
      <c r="H17" s="91" t="s">
        <v>116</v>
      </c>
      <c r="I17" s="92" t="s">
        <v>116</v>
      </c>
      <c r="J17" s="93"/>
      <c r="K17" s="43">
        <f t="shared" si="6"/>
        <v>0</v>
      </c>
      <c r="L17" s="92">
        <v>1.0</v>
      </c>
      <c r="M17" s="92" t="s">
        <v>127</v>
      </c>
      <c r="N17" s="94" t="str">
        <f t="shared" si="7"/>
        <v>Forvia | SAN JOSE ITURBIDE - MEX0968</v>
      </c>
      <c r="O17" s="92"/>
      <c r="P17" s="92"/>
      <c r="Q17" s="92"/>
      <c r="R17" s="92"/>
      <c r="S17" s="95">
        <v>0.6249</v>
      </c>
      <c r="T17" s="96">
        <f t="shared" si="8"/>
        <v>1653.06449</v>
      </c>
      <c r="U17" s="97">
        <v>1033.0</v>
      </c>
      <c r="V17" s="98" t="s">
        <v>109</v>
      </c>
      <c r="W17" s="99">
        <v>86083.33333333333</v>
      </c>
      <c r="X17" s="100">
        <v>86083.33333333333</v>
      </c>
      <c r="Y17" s="100">
        <v>86083.33333333333</v>
      </c>
      <c r="Z17" s="100">
        <v>86083.33333333333</v>
      </c>
      <c r="AA17" s="100">
        <v>86083.33333333333</v>
      </c>
      <c r="AB17" s="100">
        <v>86083.33333333333</v>
      </c>
      <c r="AC17" s="100">
        <v>86083.33333333333</v>
      </c>
      <c r="AD17" s="100">
        <v>86083.33333333333</v>
      </c>
      <c r="AE17" s="100">
        <v>86083.33333333333</v>
      </c>
      <c r="AF17" s="100">
        <v>86083.33333333333</v>
      </c>
      <c r="AG17" s="100">
        <v>86083.33333333333</v>
      </c>
      <c r="AH17" s="101">
        <v>86083.33333333333</v>
      </c>
      <c r="AI17" s="102">
        <f t="shared" ref="AI17:AT17" si="40">+ W17 * ( 1 + $AJ$3 )</f>
        <v>86083.33333</v>
      </c>
      <c r="AJ17" s="103">
        <f t="shared" si="40"/>
        <v>86083.33333</v>
      </c>
      <c r="AK17" s="103">
        <f t="shared" si="40"/>
        <v>86083.33333</v>
      </c>
      <c r="AL17" s="103">
        <f t="shared" si="40"/>
        <v>86083.33333</v>
      </c>
      <c r="AM17" s="103">
        <f t="shared" si="40"/>
        <v>86083.33333</v>
      </c>
      <c r="AN17" s="103">
        <f t="shared" si="40"/>
        <v>86083.33333</v>
      </c>
      <c r="AO17" s="103">
        <f t="shared" si="40"/>
        <v>86083.33333</v>
      </c>
      <c r="AP17" s="103">
        <f t="shared" si="40"/>
        <v>86083.33333</v>
      </c>
      <c r="AQ17" s="103">
        <f t="shared" si="40"/>
        <v>86083.33333</v>
      </c>
      <c r="AR17" s="103">
        <f t="shared" si="40"/>
        <v>86083.33333</v>
      </c>
      <c r="AS17" s="103">
        <f t="shared" si="40"/>
        <v>86083.33333</v>
      </c>
      <c r="AT17" s="103">
        <f t="shared" si="40"/>
        <v>86083.33333</v>
      </c>
      <c r="AU17" s="104">
        <v>0.0055</v>
      </c>
      <c r="AV17" s="105">
        <v>514881.7891383929</v>
      </c>
      <c r="AW17" s="106">
        <f t="shared" si="10"/>
        <v>0.8239426935</v>
      </c>
      <c r="AX17" s="90" t="s">
        <v>122</v>
      </c>
      <c r="AY17" s="107">
        <v>0.0</v>
      </c>
      <c r="AZ17" s="108">
        <f t="shared" si="11"/>
        <v>0</v>
      </c>
      <c r="BA17" s="109">
        <f t="shared" si="12"/>
        <v>0.8239426935</v>
      </c>
      <c r="BB17" s="110">
        <f t="shared" ref="BB17:BF17" si="41">+IFERROR( $AZ17 * CB17, 0 )</f>
        <v>0</v>
      </c>
      <c r="BC17" s="110">
        <f t="shared" si="41"/>
        <v>0</v>
      </c>
      <c r="BD17" s="110">
        <f t="shared" si="41"/>
        <v>0</v>
      </c>
      <c r="BE17" s="110">
        <f t="shared" si="41"/>
        <v>0</v>
      </c>
      <c r="BF17" s="111">
        <f t="shared" si="41"/>
        <v>0</v>
      </c>
      <c r="BG17" s="112">
        <v>126.0</v>
      </c>
      <c r="BH17" s="113"/>
      <c r="BI17" s="114" t="s">
        <v>27</v>
      </c>
      <c r="BJ17" s="115">
        <v>20.0</v>
      </c>
      <c r="BK17" s="116" t="s">
        <v>111</v>
      </c>
      <c r="BL17" s="117">
        <v>0.027</v>
      </c>
      <c r="BM17" s="118">
        <v>14.0</v>
      </c>
      <c r="BN17" s="119"/>
      <c r="BO17" s="120">
        <v>8748.6</v>
      </c>
      <c r="BP17" s="28">
        <v>0.04</v>
      </c>
      <c r="BQ17" s="43">
        <f t="shared" si="14"/>
        <v>20595.27157</v>
      </c>
      <c r="BR17" s="121">
        <v>45191.0</v>
      </c>
      <c r="BS17" s="122">
        <v>240.0</v>
      </c>
      <c r="BT17" s="123">
        <v>45414.0</v>
      </c>
      <c r="BU17" s="123">
        <v>45412.0</v>
      </c>
      <c r="BV17" s="123">
        <v>0.0</v>
      </c>
      <c r="BW17" s="123">
        <v>0.0</v>
      </c>
      <c r="BX17" s="123">
        <v>45600.0</v>
      </c>
      <c r="BY17" s="123">
        <v>46265.0</v>
      </c>
      <c r="BZ17" s="124">
        <v>45600.0</v>
      </c>
      <c r="CA17" s="45">
        <v>53539.0</v>
      </c>
      <c r="CB17" s="125">
        <v>0.7</v>
      </c>
      <c r="CC17" s="125">
        <v>0.2</v>
      </c>
      <c r="CD17" s="125" t="s">
        <v>112</v>
      </c>
      <c r="CE17" s="125" t="s">
        <v>112</v>
      </c>
      <c r="CF17" s="125">
        <v>0.1</v>
      </c>
      <c r="CG17" s="110">
        <f t="shared" ref="CG17:CK17" si="42">+IFERROR( $AV17 * CB17, 0 )</f>
        <v>360417.2524</v>
      </c>
      <c r="CH17" s="110">
        <f t="shared" si="42"/>
        <v>102976.3578</v>
      </c>
      <c r="CI17" s="110">
        <f t="shared" si="42"/>
        <v>0</v>
      </c>
      <c r="CJ17" s="110">
        <f t="shared" si="42"/>
        <v>0</v>
      </c>
      <c r="CK17" s="110">
        <f t="shared" si="42"/>
        <v>51488.17891</v>
      </c>
      <c r="CL17" s="126">
        <f t="shared" si="16"/>
        <v>514881.7891</v>
      </c>
      <c r="CM17" s="127">
        <v>49918.0</v>
      </c>
      <c r="CN17" s="128">
        <v>30.0</v>
      </c>
      <c r="CO17" s="129">
        <f t="shared" si="17"/>
        <v>10</v>
      </c>
      <c r="CP17" s="130">
        <v>214.6739844439632</v>
      </c>
      <c r="CQ17" s="131">
        <v>0.0</v>
      </c>
      <c r="CR17" s="132">
        <f t="shared" si="18"/>
        <v>214.6739844</v>
      </c>
      <c r="CS17" s="45">
        <v>57161.0</v>
      </c>
      <c r="CU17" s="8" t="s">
        <v>3</v>
      </c>
      <c r="CV17" s="30"/>
      <c r="CZ17" s="31"/>
      <c r="DA17" s="31"/>
      <c r="DC17" s="133"/>
    </row>
    <row r="18" ht="13.5" customHeight="1">
      <c r="A18" s="23">
        <v>1.0</v>
      </c>
      <c r="B18" s="87">
        <v>1.0</v>
      </c>
      <c r="C18" s="88">
        <f t="shared" si="5"/>
        <v>11</v>
      </c>
      <c r="D18" s="87"/>
      <c r="E18" s="89" t="s">
        <v>115</v>
      </c>
      <c r="F18" s="89">
        <v>1.0</v>
      </c>
      <c r="G18" s="90" t="s">
        <v>106</v>
      </c>
      <c r="H18" s="91" t="s">
        <v>116</v>
      </c>
      <c r="I18" s="92" t="s">
        <v>116</v>
      </c>
      <c r="J18" s="93"/>
      <c r="K18" s="43">
        <f t="shared" si="6"/>
        <v>0</v>
      </c>
      <c r="L18" s="92">
        <v>1.0</v>
      </c>
      <c r="M18" s="92" t="s">
        <v>128</v>
      </c>
      <c r="N18" s="94" t="str">
        <f t="shared" si="7"/>
        <v>Forvia | SAN LUIS POTOSI - MEX1007</v>
      </c>
      <c r="O18" s="92"/>
      <c r="P18" s="92"/>
      <c r="Q18" s="92"/>
      <c r="R18" s="92"/>
      <c r="S18" s="95">
        <v>0.56161</v>
      </c>
      <c r="T18" s="96">
        <f t="shared" si="8"/>
        <v>1613.041078</v>
      </c>
      <c r="U18" s="97">
        <v>905.9</v>
      </c>
      <c r="V18" s="98" t="s">
        <v>109</v>
      </c>
      <c r="W18" s="99">
        <v>75491.66666666666</v>
      </c>
      <c r="X18" s="100">
        <v>75491.66666666666</v>
      </c>
      <c r="Y18" s="100">
        <v>75491.66666666666</v>
      </c>
      <c r="Z18" s="100">
        <v>75491.66666666666</v>
      </c>
      <c r="AA18" s="100">
        <v>75491.66666666666</v>
      </c>
      <c r="AB18" s="100">
        <v>75491.66666666666</v>
      </c>
      <c r="AC18" s="100">
        <v>75491.66666666666</v>
      </c>
      <c r="AD18" s="100">
        <v>75491.66666666666</v>
      </c>
      <c r="AE18" s="100">
        <v>75491.66666666666</v>
      </c>
      <c r="AF18" s="100">
        <v>75491.66666666666</v>
      </c>
      <c r="AG18" s="100">
        <v>75491.66666666666</v>
      </c>
      <c r="AH18" s="101">
        <v>75491.66666666666</v>
      </c>
      <c r="AI18" s="102">
        <f t="shared" ref="AI18:AT18" si="43">+ W18 * ( 1 + $AJ$3 )</f>
        <v>75491.66667</v>
      </c>
      <c r="AJ18" s="103">
        <f t="shared" si="43"/>
        <v>75491.66667</v>
      </c>
      <c r="AK18" s="103">
        <f t="shared" si="43"/>
        <v>75491.66667</v>
      </c>
      <c r="AL18" s="103">
        <f t="shared" si="43"/>
        <v>75491.66667</v>
      </c>
      <c r="AM18" s="103">
        <f t="shared" si="43"/>
        <v>75491.66667</v>
      </c>
      <c r="AN18" s="103">
        <f t="shared" si="43"/>
        <v>75491.66667</v>
      </c>
      <c r="AO18" s="103">
        <f t="shared" si="43"/>
        <v>75491.66667</v>
      </c>
      <c r="AP18" s="103">
        <f t="shared" si="43"/>
        <v>75491.66667</v>
      </c>
      <c r="AQ18" s="103">
        <f t="shared" si="43"/>
        <v>75491.66667</v>
      </c>
      <c r="AR18" s="103">
        <f t="shared" si="43"/>
        <v>75491.66667</v>
      </c>
      <c r="AS18" s="103">
        <f t="shared" si="43"/>
        <v>75491.66667</v>
      </c>
      <c r="AT18" s="103">
        <f t="shared" si="43"/>
        <v>75491.66667</v>
      </c>
      <c r="AU18" s="104">
        <v>0.0055</v>
      </c>
      <c r="AV18" s="105">
        <v>874499.5920966667</v>
      </c>
      <c r="AW18" s="106">
        <f t="shared" si="10"/>
        <v>1.557129667</v>
      </c>
      <c r="AX18" s="90" t="s">
        <v>118</v>
      </c>
      <c r="AY18" s="107">
        <v>0.0</v>
      </c>
      <c r="AZ18" s="108">
        <f t="shared" si="11"/>
        <v>0</v>
      </c>
      <c r="BA18" s="109">
        <f t="shared" si="12"/>
        <v>1.557129667</v>
      </c>
      <c r="BB18" s="110">
        <f t="shared" ref="BB18:BF18" si="44">+IFERROR( $AZ18 * CB18, 0 )</f>
        <v>0</v>
      </c>
      <c r="BC18" s="110">
        <f t="shared" si="44"/>
        <v>0</v>
      </c>
      <c r="BD18" s="110">
        <f t="shared" si="44"/>
        <v>0</v>
      </c>
      <c r="BE18" s="110">
        <f t="shared" si="44"/>
        <v>0</v>
      </c>
      <c r="BF18" s="111">
        <f t="shared" si="44"/>
        <v>0</v>
      </c>
      <c r="BG18" s="112">
        <v>100.1</v>
      </c>
      <c r="BH18" s="113"/>
      <c r="BI18" s="114" t="s">
        <v>27</v>
      </c>
      <c r="BJ18" s="115">
        <v>20.0</v>
      </c>
      <c r="BK18" s="116" t="s">
        <v>111</v>
      </c>
      <c r="BL18" s="117">
        <v>0.027</v>
      </c>
      <c r="BM18" s="118">
        <v>14.0</v>
      </c>
      <c r="BN18" s="119"/>
      <c r="BO18" s="120">
        <v>7862.540000000001</v>
      </c>
      <c r="BP18" s="28">
        <v>0.04</v>
      </c>
      <c r="BQ18" s="43">
        <f t="shared" si="14"/>
        <v>34979.98368</v>
      </c>
      <c r="BR18" s="121">
        <v>45191.0</v>
      </c>
      <c r="BS18" s="122">
        <v>196.0</v>
      </c>
      <c r="BT18" s="123">
        <v>45414.0</v>
      </c>
      <c r="BU18" s="123">
        <v>45419.0</v>
      </c>
      <c r="BV18" s="123">
        <v>0.0</v>
      </c>
      <c r="BW18" s="123">
        <v>0.0</v>
      </c>
      <c r="BX18" s="123">
        <v>46068.0</v>
      </c>
      <c r="BY18" s="123">
        <v>46295.0</v>
      </c>
      <c r="BZ18" s="124">
        <v>46068.0</v>
      </c>
      <c r="CA18" s="45">
        <v>53570.0</v>
      </c>
      <c r="CB18" s="125">
        <v>0.7</v>
      </c>
      <c r="CC18" s="125">
        <v>0.2</v>
      </c>
      <c r="CD18" s="125" t="s">
        <v>112</v>
      </c>
      <c r="CE18" s="125" t="s">
        <v>112</v>
      </c>
      <c r="CF18" s="125">
        <v>0.1</v>
      </c>
      <c r="CG18" s="110">
        <f t="shared" ref="CG18:CK18" si="45">+IFERROR( $AV18 * CB18, 0 )</f>
        <v>612149.7145</v>
      </c>
      <c r="CH18" s="110">
        <f t="shared" si="45"/>
        <v>174899.9184</v>
      </c>
      <c r="CI18" s="110">
        <f t="shared" si="45"/>
        <v>0</v>
      </c>
      <c r="CJ18" s="110">
        <f t="shared" si="45"/>
        <v>0</v>
      </c>
      <c r="CK18" s="110">
        <f t="shared" si="45"/>
        <v>87449.95921</v>
      </c>
      <c r="CL18" s="126">
        <f t="shared" si="16"/>
        <v>874499.5921</v>
      </c>
      <c r="CM18" s="127">
        <v>49948.0</v>
      </c>
      <c r="CN18" s="128">
        <v>30.0</v>
      </c>
      <c r="CO18" s="129">
        <f t="shared" si="17"/>
        <v>10</v>
      </c>
      <c r="CP18" s="130">
        <v>170.54655430825966</v>
      </c>
      <c r="CQ18" s="131">
        <v>0.0</v>
      </c>
      <c r="CR18" s="132">
        <f t="shared" si="18"/>
        <v>170.5465543</v>
      </c>
      <c r="CS18" s="45">
        <v>57192.0</v>
      </c>
      <c r="CU18" s="8" t="s">
        <v>3</v>
      </c>
      <c r="CV18" s="30"/>
      <c r="CZ18" s="31"/>
      <c r="DA18" s="31"/>
      <c r="DC18" s="133"/>
    </row>
    <row r="19" ht="13.5" customHeight="1">
      <c r="A19" s="23">
        <v>2.0</v>
      </c>
      <c r="B19" s="87">
        <v>1.0</v>
      </c>
      <c r="C19" s="88">
        <f t="shared" si="5"/>
        <v>12</v>
      </c>
      <c r="D19" s="87"/>
      <c r="E19" s="89" t="s">
        <v>105</v>
      </c>
      <c r="F19" s="89">
        <v>1.0</v>
      </c>
      <c r="G19" s="90" t="s">
        <v>106</v>
      </c>
      <c r="H19" s="91" t="s">
        <v>116</v>
      </c>
      <c r="I19" s="92" t="s">
        <v>116</v>
      </c>
      <c r="J19" s="93"/>
      <c r="K19" s="43">
        <f t="shared" si="6"/>
        <v>0</v>
      </c>
      <c r="L19" s="92">
        <v>1.0</v>
      </c>
      <c r="M19" s="92" t="s">
        <v>129</v>
      </c>
      <c r="N19" s="94" t="str">
        <f t="shared" si="7"/>
        <v>Forvia | MONTERREY - MEX0940</v>
      </c>
      <c r="O19" s="92"/>
      <c r="P19" s="92"/>
      <c r="Q19" s="92"/>
      <c r="R19" s="92"/>
      <c r="S19" s="95">
        <v>0.6248</v>
      </c>
      <c r="T19" s="96">
        <f t="shared" si="8"/>
        <v>1358.802817</v>
      </c>
      <c r="U19" s="97">
        <v>848.98</v>
      </c>
      <c r="V19" s="98" t="s">
        <v>109</v>
      </c>
      <c r="W19" s="99">
        <v>70748.33333333333</v>
      </c>
      <c r="X19" s="100">
        <v>70748.33333333333</v>
      </c>
      <c r="Y19" s="100">
        <v>70748.33333333333</v>
      </c>
      <c r="Z19" s="100">
        <v>70748.33333333333</v>
      </c>
      <c r="AA19" s="100">
        <v>70748.33333333333</v>
      </c>
      <c r="AB19" s="100">
        <v>70748.33333333333</v>
      </c>
      <c r="AC19" s="100">
        <v>70748.33333333333</v>
      </c>
      <c r="AD19" s="100">
        <v>70748.33333333333</v>
      </c>
      <c r="AE19" s="100">
        <v>70748.33333333333</v>
      </c>
      <c r="AF19" s="100">
        <v>70748.33333333333</v>
      </c>
      <c r="AG19" s="100">
        <v>70748.33333333333</v>
      </c>
      <c r="AH19" s="101">
        <v>70748.33333333333</v>
      </c>
      <c r="AI19" s="102">
        <f t="shared" ref="AI19:AT19" si="46">+ W19 * ( 1 + $AJ$3 )</f>
        <v>70748.33333</v>
      </c>
      <c r="AJ19" s="103">
        <f t="shared" si="46"/>
        <v>70748.33333</v>
      </c>
      <c r="AK19" s="103">
        <f t="shared" si="46"/>
        <v>70748.33333</v>
      </c>
      <c r="AL19" s="103">
        <f t="shared" si="46"/>
        <v>70748.33333</v>
      </c>
      <c r="AM19" s="103">
        <f t="shared" si="46"/>
        <v>70748.33333</v>
      </c>
      <c r="AN19" s="103">
        <f t="shared" si="46"/>
        <v>70748.33333</v>
      </c>
      <c r="AO19" s="103">
        <f t="shared" si="46"/>
        <v>70748.33333</v>
      </c>
      <c r="AP19" s="103">
        <f t="shared" si="46"/>
        <v>70748.33333</v>
      </c>
      <c r="AQ19" s="103">
        <f t="shared" si="46"/>
        <v>70748.33333</v>
      </c>
      <c r="AR19" s="103">
        <f t="shared" si="46"/>
        <v>70748.33333</v>
      </c>
      <c r="AS19" s="103">
        <f t="shared" si="46"/>
        <v>70748.33333</v>
      </c>
      <c r="AT19" s="103">
        <f t="shared" si="46"/>
        <v>70748.33333</v>
      </c>
      <c r="AU19" s="104">
        <v>0.0055</v>
      </c>
      <c r="AV19" s="105">
        <v>528393.5007287619</v>
      </c>
      <c r="AW19" s="106">
        <f t="shared" si="10"/>
        <v>0.8457002252</v>
      </c>
      <c r="AX19" s="90" t="s">
        <v>110</v>
      </c>
      <c r="AY19" s="107">
        <v>0.0</v>
      </c>
      <c r="AZ19" s="108">
        <f t="shared" si="11"/>
        <v>0</v>
      </c>
      <c r="BA19" s="109">
        <f t="shared" si="12"/>
        <v>0.8457002252</v>
      </c>
      <c r="BB19" s="110">
        <f t="shared" ref="BB19:BF19" si="47">+IFERROR( $AZ19 * CB19, 0 )</f>
        <v>0</v>
      </c>
      <c r="BC19" s="110">
        <f t="shared" si="47"/>
        <v>0</v>
      </c>
      <c r="BD19" s="110">
        <f t="shared" si="47"/>
        <v>0</v>
      </c>
      <c r="BE19" s="110">
        <f t="shared" si="47"/>
        <v>0</v>
      </c>
      <c r="BF19" s="111">
        <f t="shared" si="47"/>
        <v>0</v>
      </c>
      <c r="BG19" s="112">
        <v>125.0</v>
      </c>
      <c r="BH19" s="113"/>
      <c r="BI19" s="114" t="s">
        <v>27</v>
      </c>
      <c r="BJ19" s="115">
        <v>20.0</v>
      </c>
      <c r="BK19" s="116" t="s">
        <v>111</v>
      </c>
      <c r="BL19" s="117">
        <v>0.027</v>
      </c>
      <c r="BM19" s="118">
        <v>14.0</v>
      </c>
      <c r="BN19" s="119"/>
      <c r="BO19" s="120">
        <v>8747.199999999999</v>
      </c>
      <c r="BP19" s="28">
        <v>0.04</v>
      </c>
      <c r="BQ19" s="43">
        <f t="shared" si="14"/>
        <v>21135.74003</v>
      </c>
      <c r="BR19" s="121">
        <v>45177.0</v>
      </c>
      <c r="BS19" s="122">
        <v>196.0</v>
      </c>
      <c r="BT19" s="123">
        <v>45292.0</v>
      </c>
      <c r="BU19" s="123">
        <v>45434.0</v>
      </c>
      <c r="BV19" s="123">
        <v>0.0</v>
      </c>
      <c r="BW19" s="123">
        <v>0.0</v>
      </c>
      <c r="BX19" s="123">
        <v>45899.0</v>
      </c>
      <c r="BY19" s="123">
        <v>46203.0</v>
      </c>
      <c r="BZ19" s="124">
        <v>45901.0</v>
      </c>
      <c r="CA19" s="45">
        <v>53478.0</v>
      </c>
      <c r="CB19" s="125">
        <v>0.7</v>
      </c>
      <c r="CC19" s="125">
        <v>0.2</v>
      </c>
      <c r="CD19" s="125" t="s">
        <v>112</v>
      </c>
      <c r="CE19" s="125" t="s">
        <v>112</v>
      </c>
      <c r="CF19" s="125">
        <v>0.1</v>
      </c>
      <c r="CG19" s="110">
        <f t="shared" ref="CG19:CK19" si="48">+IFERROR( $AV19 * CB19, 0 )</f>
        <v>369875.4505</v>
      </c>
      <c r="CH19" s="110">
        <f t="shared" si="48"/>
        <v>105678.7001</v>
      </c>
      <c r="CI19" s="110">
        <f t="shared" si="48"/>
        <v>0</v>
      </c>
      <c r="CJ19" s="110">
        <f t="shared" si="48"/>
        <v>0</v>
      </c>
      <c r="CK19" s="110">
        <f t="shared" si="48"/>
        <v>52839.35007</v>
      </c>
      <c r="CL19" s="126">
        <f t="shared" si="16"/>
        <v>528393.5007</v>
      </c>
      <c r="CM19" s="127">
        <v>49856.0</v>
      </c>
      <c r="CN19" s="128">
        <v>30.0</v>
      </c>
      <c r="CO19" s="129">
        <f t="shared" si="17"/>
        <v>10</v>
      </c>
      <c r="CP19" s="130">
        <v>212.9702226626619</v>
      </c>
      <c r="CQ19" s="131">
        <v>0.0</v>
      </c>
      <c r="CR19" s="132">
        <f t="shared" si="18"/>
        <v>212.9702227</v>
      </c>
      <c r="CS19" s="45">
        <v>57100.0</v>
      </c>
      <c r="CU19" s="8" t="s">
        <v>3</v>
      </c>
      <c r="CV19" s="30"/>
      <c r="CZ19" s="31"/>
      <c r="DA19" s="31"/>
      <c r="DC19" s="133"/>
    </row>
    <row r="20" ht="13.5" customHeight="1">
      <c r="A20" s="23">
        <v>2.0</v>
      </c>
      <c r="B20" s="87">
        <v>1.0</v>
      </c>
      <c r="C20" s="88">
        <f t="shared" si="5"/>
        <v>13</v>
      </c>
      <c r="D20" s="87"/>
      <c r="E20" s="89" t="s">
        <v>105</v>
      </c>
      <c r="F20" s="89">
        <v>1.0</v>
      </c>
      <c r="G20" s="90" t="s">
        <v>106</v>
      </c>
      <c r="H20" s="91" t="s">
        <v>116</v>
      </c>
      <c r="I20" s="92" t="s">
        <v>116</v>
      </c>
      <c r="J20" s="93"/>
      <c r="K20" s="43">
        <f t="shared" si="6"/>
        <v>0</v>
      </c>
      <c r="L20" s="92">
        <v>1.0</v>
      </c>
      <c r="M20" s="92" t="s">
        <v>130</v>
      </c>
      <c r="N20" s="94" t="str">
        <f t="shared" si="7"/>
        <v>Forvia | MONTERREY - MEX0940 NAVE II</v>
      </c>
      <c r="O20" s="92"/>
      <c r="P20" s="92"/>
      <c r="Q20" s="92"/>
      <c r="R20" s="92"/>
      <c r="S20" s="95">
        <v>0.6248</v>
      </c>
      <c r="T20" s="96">
        <f t="shared" si="8"/>
        <v>1382.202305</v>
      </c>
      <c r="U20" s="97">
        <v>863.6</v>
      </c>
      <c r="V20" s="98" t="s">
        <v>109</v>
      </c>
      <c r="W20" s="99">
        <v>71966.66666666667</v>
      </c>
      <c r="X20" s="100">
        <v>71966.66666666667</v>
      </c>
      <c r="Y20" s="100">
        <v>71966.66666666667</v>
      </c>
      <c r="Z20" s="100">
        <v>71966.66666666667</v>
      </c>
      <c r="AA20" s="100">
        <v>71966.66666666667</v>
      </c>
      <c r="AB20" s="100">
        <v>71966.66666666667</v>
      </c>
      <c r="AC20" s="100">
        <v>71966.66666666667</v>
      </c>
      <c r="AD20" s="100">
        <v>71966.66666666667</v>
      </c>
      <c r="AE20" s="100">
        <v>71966.66666666667</v>
      </c>
      <c r="AF20" s="100">
        <v>71966.66666666667</v>
      </c>
      <c r="AG20" s="100">
        <v>71966.66666666667</v>
      </c>
      <c r="AH20" s="101">
        <v>71966.66666666667</v>
      </c>
      <c r="AI20" s="102">
        <f t="shared" ref="AI20:AT20" si="49">+ W20 * ( 1 + $AJ$3 )</f>
        <v>71966.66667</v>
      </c>
      <c r="AJ20" s="103">
        <f t="shared" si="49"/>
        <v>71966.66667</v>
      </c>
      <c r="AK20" s="103">
        <f t="shared" si="49"/>
        <v>71966.66667</v>
      </c>
      <c r="AL20" s="103">
        <f t="shared" si="49"/>
        <v>71966.66667</v>
      </c>
      <c r="AM20" s="103">
        <f t="shared" si="49"/>
        <v>71966.66667</v>
      </c>
      <c r="AN20" s="103">
        <f t="shared" si="49"/>
        <v>71966.66667</v>
      </c>
      <c r="AO20" s="103">
        <f t="shared" si="49"/>
        <v>71966.66667</v>
      </c>
      <c r="AP20" s="103">
        <f t="shared" si="49"/>
        <v>71966.66667</v>
      </c>
      <c r="AQ20" s="103">
        <f t="shared" si="49"/>
        <v>71966.66667</v>
      </c>
      <c r="AR20" s="103">
        <f t="shared" si="49"/>
        <v>71966.66667</v>
      </c>
      <c r="AS20" s="103">
        <f t="shared" si="49"/>
        <v>71966.66667</v>
      </c>
      <c r="AT20" s="103">
        <f t="shared" si="49"/>
        <v>71966.66667</v>
      </c>
      <c r="AU20" s="104">
        <v>0.0055</v>
      </c>
      <c r="AV20" s="105">
        <v>640147.0872856191</v>
      </c>
      <c r="AW20" s="106">
        <f t="shared" si="10"/>
        <v>1.0245632</v>
      </c>
      <c r="AX20" s="90" t="s">
        <v>110</v>
      </c>
      <c r="AY20" s="107">
        <v>0.0</v>
      </c>
      <c r="AZ20" s="108">
        <f t="shared" si="11"/>
        <v>0</v>
      </c>
      <c r="BA20" s="109">
        <f t="shared" si="12"/>
        <v>1.0245632</v>
      </c>
      <c r="BB20" s="110">
        <f t="shared" ref="BB20:BF20" si="50">+IFERROR( $AZ20 * CB20, 0 )</f>
        <v>0</v>
      </c>
      <c r="BC20" s="110">
        <f t="shared" si="50"/>
        <v>0</v>
      </c>
      <c r="BD20" s="110">
        <f t="shared" si="50"/>
        <v>0</v>
      </c>
      <c r="BE20" s="110">
        <f t="shared" si="50"/>
        <v>0</v>
      </c>
      <c r="BF20" s="111">
        <f t="shared" si="50"/>
        <v>0</v>
      </c>
      <c r="BG20" s="112">
        <v>125.0</v>
      </c>
      <c r="BH20" s="113"/>
      <c r="BI20" s="114" t="s">
        <v>27</v>
      </c>
      <c r="BJ20" s="115">
        <v>20.0</v>
      </c>
      <c r="BK20" s="116" t="s">
        <v>111</v>
      </c>
      <c r="BL20" s="117">
        <v>0.027</v>
      </c>
      <c r="BM20" s="118">
        <v>14.0</v>
      </c>
      <c r="BN20" s="119"/>
      <c r="BO20" s="120">
        <v>8747.199999999999</v>
      </c>
      <c r="BP20" s="28">
        <v>0.04</v>
      </c>
      <c r="BQ20" s="43">
        <f t="shared" si="14"/>
        <v>25605.88349</v>
      </c>
      <c r="BR20" s="121">
        <v>45177.0</v>
      </c>
      <c r="BS20" s="122">
        <v>190.0</v>
      </c>
      <c r="BT20" s="123">
        <v>45292.0</v>
      </c>
      <c r="BU20" s="123">
        <v>45439.0</v>
      </c>
      <c r="BV20" s="123">
        <v>0.0</v>
      </c>
      <c r="BW20" s="123">
        <v>0.0</v>
      </c>
      <c r="BX20" s="123">
        <v>46001.0</v>
      </c>
      <c r="BY20" s="123">
        <v>46326.0</v>
      </c>
      <c r="BZ20" s="124">
        <v>46001.0</v>
      </c>
      <c r="CA20" s="45">
        <v>53600.0</v>
      </c>
      <c r="CB20" s="125">
        <v>0.7</v>
      </c>
      <c r="CC20" s="125">
        <v>0.2</v>
      </c>
      <c r="CD20" s="125" t="s">
        <v>112</v>
      </c>
      <c r="CE20" s="125" t="s">
        <v>112</v>
      </c>
      <c r="CF20" s="125">
        <v>0.1</v>
      </c>
      <c r="CG20" s="110">
        <f t="shared" ref="CG20:CK20" si="51">+IFERROR( $AV20 * CB20, 0 )</f>
        <v>448102.9611</v>
      </c>
      <c r="CH20" s="110">
        <f t="shared" si="51"/>
        <v>128029.4175</v>
      </c>
      <c r="CI20" s="110">
        <f t="shared" si="51"/>
        <v>0</v>
      </c>
      <c r="CJ20" s="110">
        <f t="shared" si="51"/>
        <v>0</v>
      </c>
      <c r="CK20" s="110">
        <f t="shared" si="51"/>
        <v>64014.70873</v>
      </c>
      <c r="CL20" s="126">
        <f t="shared" si="16"/>
        <v>640147.0873</v>
      </c>
      <c r="CM20" s="127">
        <v>49979.0</v>
      </c>
      <c r="CN20" s="128">
        <v>30.0</v>
      </c>
      <c r="CO20" s="129">
        <f t="shared" si="17"/>
        <v>10</v>
      </c>
      <c r="CP20" s="130">
        <v>212.9702226626619</v>
      </c>
      <c r="CQ20" s="131">
        <v>0.0</v>
      </c>
      <c r="CR20" s="132">
        <f t="shared" si="18"/>
        <v>212.9702227</v>
      </c>
      <c r="CS20" s="45">
        <v>57223.0</v>
      </c>
      <c r="CU20" s="8" t="s">
        <v>3</v>
      </c>
      <c r="CV20" s="30"/>
      <c r="CZ20" s="31"/>
      <c r="DA20" s="31"/>
      <c r="DC20" s="133"/>
    </row>
    <row r="21" ht="13.5" customHeight="1">
      <c r="A21" s="23">
        <v>2.0</v>
      </c>
      <c r="B21" s="87">
        <v>1.0</v>
      </c>
      <c r="C21" s="88">
        <f t="shared" si="5"/>
        <v>14</v>
      </c>
      <c r="D21" s="134"/>
      <c r="E21" s="89" t="s">
        <v>115</v>
      </c>
      <c r="F21" s="89">
        <v>1.0</v>
      </c>
      <c r="G21" s="135" t="s">
        <v>106</v>
      </c>
      <c r="H21" s="136" t="s">
        <v>116</v>
      </c>
      <c r="I21" s="137" t="s">
        <v>116</v>
      </c>
      <c r="J21" s="138"/>
      <c r="K21" s="43">
        <f t="shared" si="6"/>
        <v>0</v>
      </c>
      <c r="L21" s="92">
        <v>1.0</v>
      </c>
      <c r="M21" s="92" t="s">
        <v>131</v>
      </c>
      <c r="N21" s="139" t="str">
        <f t="shared" si="7"/>
        <v>Forvia | MONTERREY - MEX1535</v>
      </c>
      <c r="O21" s="137"/>
      <c r="P21" s="140"/>
      <c r="Q21" s="140"/>
      <c r="R21" s="140"/>
      <c r="S21" s="141">
        <v>0.6249</v>
      </c>
      <c r="T21" s="96">
        <f t="shared" si="8"/>
        <v>1383.101296</v>
      </c>
      <c r="U21" s="97">
        <v>864.3</v>
      </c>
      <c r="V21" s="98" t="s">
        <v>109</v>
      </c>
      <c r="W21" s="99">
        <v>72024.99999999999</v>
      </c>
      <c r="X21" s="100">
        <v>72024.99999999999</v>
      </c>
      <c r="Y21" s="100">
        <v>72024.99999999999</v>
      </c>
      <c r="Z21" s="100">
        <v>72024.99999999999</v>
      </c>
      <c r="AA21" s="100">
        <v>72024.99999999999</v>
      </c>
      <c r="AB21" s="100">
        <v>72024.99999999999</v>
      </c>
      <c r="AC21" s="100">
        <v>72024.99999999999</v>
      </c>
      <c r="AD21" s="100">
        <v>72024.99999999999</v>
      </c>
      <c r="AE21" s="100">
        <v>72024.99999999999</v>
      </c>
      <c r="AF21" s="100">
        <v>72024.99999999999</v>
      </c>
      <c r="AG21" s="100">
        <v>72024.99999999999</v>
      </c>
      <c r="AH21" s="101">
        <v>72024.99999999999</v>
      </c>
      <c r="AI21" s="142">
        <f t="shared" ref="AI21:AT21" si="52">+ W21 * ( 1 + $AJ$3 )</f>
        <v>72025</v>
      </c>
      <c r="AJ21" s="143">
        <f t="shared" si="52"/>
        <v>72025</v>
      </c>
      <c r="AK21" s="143">
        <f t="shared" si="52"/>
        <v>72025</v>
      </c>
      <c r="AL21" s="143">
        <f t="shared" si="52"/>
        <v>72025</v>
      </c>
      <c r="AM21" s="143">
        <f t="shared" si="52"/>
        <v>72025</v>
      </c>
      <c r="AN21" s="143">
        <f t="shared" si="52"/>
        <v>72025</v>
      </c>
      <c r="AO21" s="143">
        <f t="shared" si="52"/>
        <v>72025</v>
      </c>
      <c r="AP21" s="143">
        <f t="shared" si="52"/>
        <v>72025</v>
      </c>
      <c r="AQ21" s="143">
        <f t="shared" si="52"/>
        <v>72025</v>
      </c>
      <c r="AR21" s="143">
        <f t="shared" si="52"/>
        <v>72025</v>
      </c>
      <c r="AS21" s="143">
        <f t="shared" si="52"/>
        <v>72025</v>
      </c>
      <c r="AT21" s="143">
        <f t="shared" si="52"/>
        <v>72025</v>
      </c>
      <c r="AU21" s="104">
        <v>0.0055</v>
      </c>
      <c r="AV21" s="105">
        <v>583346.5620396072</v>
      </c>
      <c r="AW21" s="106">
        <f t="shared" si="10"/>
        <v>0.9335038599</v>
      </c>
      <c r="AX21" s="135" t="s">
        <v>110</v>
      </c>
      <c r="AY21" s="107">
        <v>0.0</v>
      </c>
      <c r="AZ21" s="108">
        <f t="shared" si="11"/>
        <v>0</v>
      </c>
      <c r="BA21" s="109">
        <f t="shared" si="12"/>
        <v>0.9335038599</v>
      </c>
      <c r="BB21" s="110">
        <f t="shared" ref="BB21:BF21" si="53">+IFERROR( $AZ21 * CB21, 0 )</f>
        <v>0</v>
      </c>
      <c r="BC21" s="110">
        <f t="shared" si="53"/>
        <v>0</v>
      </c>
      <c r="BD21" s="110">
        <f t="shared" si="53"/>
        <v>0</v>
      </c>
      <c r="BE21" s="110">
        <f t="shared" si="53"/>
        <v>0</v>
      </c>
      <c r="BF21" s="111">
        <f t="shared" si="53"/>
        <v>0</v>
      </c>
      <c r="BG21" s="112">
        <v>130.5</v>
      </c>
      <c r="BH21" s="113"/>
      <c r="BI21" s="114" t="s">
        <v>27</v>
      </c>
      <c r="BJ21" s="115">
        <v>20.0</v>
      </c>
      <c r="BK21" s="116" t="s">
        <v>111</v>
      </c>
      <c r="BL21" s="117">
        <v>0.027</v>
      </c>
      <c r="BM21" s="118">
        <v>14.0</v>
      </c>
      <c r="BN21" s="119"/>
      <c r="BO21" s="120">
        <v>8748.6</v>
      </c>
      <c r="BP21" s="28">
        <v>0.04</v>
      </c>
      <c r="BQ21" s="43">
        <f t="shared" si="14"/>
        <v>23333.86248</v>
      </c>
      <c r="BR21" s="144">
        <v>45177.0</v>
      </c>
      <c r="BS21" s="145">
        <v>196.0</v>
      </c>
      <c r="BT21" s="123">
        <v>45414.0</v>
      </c>
      <c r="BU21" s="123">
        <v>45439.0</v>
      </c>
      <c r="BV21" s="123">
        <v>0.0</v>
      </c>
      <c r="BW21" s="123">
        <v>0.0</v>
      </c>
      <c r="BX21" s="123">
        <v>46001.0</v>
      </c>
      <c r="BY21" s="123">
        <v>46326.0</v>
      </c>
      <c r="BZ21" s="124">
        <v>46001.0</v>
      </c>
      <c r="CA21" s="45">
        <v>53600.0</v>
      </c>
      <c r="CB21" s="125">
        <v>0.7</v>
      </c>
      <c r="CC21" s="125">
        <v>0.2</v>
      </c>
      <c r="CD21" s="125" t="s">
        <v>112</v>
      </c>
      <c r="CE21" s="125" t="s">
        <v>112</v>
      </c>
      <c r="CF21" s="125">
        <v>0.1</v>
      </c>
      <c r="CG21" s="110">
        <f t="shared" ref="CG21:CK21" si="54">+IFERROR( $AV21 * CB21, 0 )</f>
        <v>408342.5934</v>
      </c>
      <c r="CH21" s="110">
        <f t="shared" si="54"/>
        <v>116669.3124</v>
      </c>
      <c r="CI21" s="110">
        <f t="shared" si="54"/>
        <v>0</v>
      </c>
      <c r="CJ21" s="110">
        <f t="shared" si="54"/>
        <v>0</v>
      </c>
      <c r="CK21" s="110">
        <f t="shared" si="54"/>
        <v>58334.6562</v>
      </c>
      <c r="CL21" s="126">
        <f t="shared" si="16"/>
        <v>583346.562</v>
      </c>
      <c r="CM21" s="127">
        <v>49979.0</v>
      </c>
      <c r="CN21" s="146">
        <v>30.0</v>
      </c>
      <c r="CO21" s="147">
        <f t="shared" si="17"/>
        <v>10</v>
      </c>
      <c r="CP21" s="130">
        <v>222.34091245981904</v>
      </c>
      <c r="CQ21" s="131">
        <v>0.0</v>
      </c>
      <c r="CR21" s="132">
        <f t="shared" si="18"/>
        <v>222.3409125</v>
      </c>
      <c r="CS21" s="45">
        <v>57223.0</v>
      </c>
      <c r="CU21" s="8" t="s">
        <v>3</v>
      </c>
      <c r="CV21" s="30"/>
      <c r="CZ21" s="31"/>
      <c r="DA21" s="31"/>
      <c r="DC21" s="133"/>
    </row>
    <row r="22" ht="13.5" customHeight="1">
      <c r="B22" s="134">
        <v>1.0</v>
      </c>
      <c r="C22" s="88">
        <f t="shared" si="5"/>
        <v>15</v>
      </c>
      <c r="D22" s="87"/>
      <c r="E22" s="89" t="s">
        <v>132</v>
      </c>
      <c r="F22" s="89">
        <v>1.0</v>
      </c>
      <c r="G22" s="90" t="s">
        <v>106</v>
      </c>
      <c r="H22" s="92" t="s">
        <v>133</v>
      </c>
      <c r="I22" s="92" t="s">
        <v>134</v>
      </c>
      <c r="J22" s="93"/>
      <c r="K22" s="43">
        <f t="shared" si="6"/>
        <v>1</v>
      </c>
      <c r="L22" s="92">
        <v>1.0</v>
      </c>
      <c r="M22" s="92" t="s">
        <v>135</v>
      </c>
      <c r="N22" s="94" t="str">
        <f t="shared" si="7"/>
        <v>MSA de México | Queretaro</v>
      </c>
      <c r="O22" s="94"/>
      <c r="P22" s="94"/>
      <c r="Q22" s="94"/>
      <c r="R22" s="94"/>
      <c r="S22" s="95">
        <f>299.8/1000</f>
        <v>0.2998</v>
      </c>
      <c r="T22" s="96">
        <f t="shared" si="8"/>
        <v>1667.111408</v>
      </c>
      <c r="U22" s="97">
        <v>499.8</v>
      </c>
      <c r="V22" s="98" t="s">
        <v>109</v>
      </c>
      <c r="W22" s="99">
        <v>33721.48590404603</v>
      </c>
      <c r="X22" s="100">
        <v>37705.244305086715</v>
      </c>
      <c r="Y22" s="100">
        <v>47681.74735146059</v>
      </c>
      <c r="Z22" s="100">
        <v>49664.540021312634</v>
      </c>
      <c r="AA22" s="100">
        <v>50160.03513781098</v>
      </c>
      <c r="AB22" s="100">
        <v>45594.63724851724</v>
      </c>
      <c r="AC22" s="100">
        <v>46472.62961968367</v>
      </c>
      <c r="AD22" s="100">
        <v>45681.34001042474</v>
      </c>
      <c r="AE22" s="100">
        <v>39318.7887957144</v>
      </c>
      <c r="AF22" s="100">
        <v>38507.9047683663</v>
      </c>
      <c r="AG22" s="100">
        <v>34549.5785006486</v>
      </c>
      <c r="AH22" s="101">
        <v>30742.06833692814</v>
      </c>
      <c r="AI22" s="102">
        <f t="shared" ref="AI22:AT22" si="55">+ W22 * ( 1 + $AJ$3 )</f>
        <v>33721.4859</v>
      </c>
      <c r="AJ22" s="102">
        <f t="shared" si="55"/>
        <v>37705.24431</v>
      </c>
      <c r="AK22" s="102">
        <f t="shared" si="55"/>
        <v>47681.74735</v>
      </c>
      <c r="AL22" s="102">
        <f t="shared" si="55"/>
        <v>49664.54002</v>
      </c>
      <c r="AM22" s="102">
        <f t="shared" si="55"/>
        <v>50160.03514</v>
      </c>
      <c r="AN22" s="102">
        <f t="shared" si="55"/>
        <v>45594.63725</v>
      </c>
      <c r="AO22" s="102">
        <f t="shared" si="55"/>
        <v>46472.62962</v>
      </c>
      <c r="AP22" s="102">
        <f t="shared" si="55"/>
        <v>45681.34001</v>
      </c>
      <c r="AQ22" s="102">
        <f t="shared" si="55"/>
        <v>39318.7888</v>
      </c>
      <c r="AR22" s="102">
        <f t="shared" si="55"/>
        <v>38507.90477</v>
      </c>
      <c r="AS22" s="102">
        <f t="shared" si="55"/>
        <v>34549.5785</v>
      </c>
      <c r="AT22" s="102">
        <f t="shared" si="55"/>
        <v>30742.06834</v>
      </c>
      <c r="AU22" s="104">
        <v>0.0055</v>
      </c>
      <c r="AV22" s="105">
        <v>187995.56</v>
      </c>
      <c r="AW22" s="106">
        <f t="shared" si="10"/>
        <v>0.6270699133</v>
      </c>
      <c r="AX22" s="90" t="s">
        <v>110</v>
      </c>
      <c r="AY22" s="107">
        <v>0.0</v>
      </c>
      <c r="AZ22" s="108">
        <f t="shared" si="11"/>
        <v>0</v>
      </c>
      <c r="BA22" s="109">
        <f t="shared" si="12"/>
        <v>0.6270699133</v>
      </c>
      <c r="BB22" s="110">
        <f t="shared" ref="BB22:BF22" si="56">+IFERROR( $AZ22 * CB22, 0 )</f>
        <v>0</v>
      </c>
      <c r="BC22" s="110">
        <f t="shared" si="56"/>
        <v>0</v>
      </c>
      <c r="BD22" s="110">
        <f t="shared" si="56"/>
        <v>0</v>
      </c>
      <c r="BE22" s="110">
        <f t="shared" si="56"/>
        <v>0</v>
      </c>
      <c r="BF22" s="111">
        <f t="shared" si="56"/>
        <v>0</v>
      </c>
      <c r="BG22" s="112">
        <v>80.25</v>
      </c>
      <c r="BH22" s="113"/>
      <c r="BI22" s="114" t="s">
        <v>27</v>
      </c>
      <c r="BJ22" s="115">
        <v>10.0</v>
      </c>
      <c r="BK22" s="116" t="s">
        <v>111</v>
      </c>
      <c r="BL22" s="117">
        <v>0.04</v>
      </c>
      <c r="BM22" s="118">
        <v>16.4</v>
      </c>
      <c r="BN22" s="119"/>
      <c r="BO22" s="120">
        <v>4916.719999999999</v>
      </c>
      <c r="BP22" s="28">
        <v>0.04</v>
      </c>
      <c r="BQ22" s="43">
        <f t="shared" si="14"/>
        <v>0</v>
      </c>
      <c r="BR22" s="121">
        <v>45641.0</v>
      </c>
      <c r="BS22" s="122">
        <v>196.0</v>
      </c>
      <c r="BT22" s="123">
        <v>45641.0</v>
      </c>
      <c r="BU22" s="123">
        <v>45641.0</v>
      </c>
      <c r="BV22" s="123">
        <v>0.0</v>
      </c>
      <c r="BW22" s="123">
        <v>0.0</v>
      </c>
      <c r="BX22" s="123">
        <v>45630.0</v>
      </c>
      <c r="BY22" s="123">
        <v>45872.0</v>
      </c>
      <c r="BZ22" s="124">
        <v>45630.0</v>
      </c>
      <c r="CA22" s="45">
        <v>49521.0</v>
      </c>
      <c r="CB22" s="125">
        <v>0.7</v>
      </c>
      <c r="CC22" s="125">
        <v>0.2</v>
      </c>
      <c r="CD22" s="125" t="s">
        <v>112</v>
      </c>
      <c r="CE22" s="125" t="s">
        <v>112</v>
      </c>
      <c r="CF22" s="125">
        <v>0.1</v>
      </c>
      <c r="CG22" s="110">
        <f t="shared" ref="CG22:CK22" si="57">+IFERROR( $AV22 * CB22, 0 )</f>
        <v>131596.892</v>
      </c>
      <c r="CH22" s="110">
        <f t="shared" si="57"/>
        <v>37599.112</v>
      </c>
      <c r="CI22" s="110">
        <f t="shared" si="57"/>
        <v>0</v>
      </c>
      <c r="CJ22" s="110">
        <f t="shared" si="57"/>
        <v>0</v>
      </c>
      <c r="CK22" s="110">
        <f t="shared" si="57"/>
        <v>18799.556</v>
      </c>
      <c r="CL22" s="126">
        <f t="shared" si="16"/>
        <v>187995.56</v>
      </c>
      <c r="CM22" s="127">
        <v>0.0</v>
      </c>
      <c r="CN22" s="128">
        <v>30.0</v>
      </c>
      <c r="CO22" s="129">
        <f t="shared" si="17"/>
        <v>20</v>
      </c>
      <c r="CP22" s="130">
        <v>118.78960386469716</v>
      </c>
      <c r="CQ22" s="131">
        <v>0.0</v>
      </c>
      <c r="CR22" s="132">
        <f t="shared" si="18"/>
        <v>118.7896039</v>
      </c>
      <c r="CS22" s="45">
        <v>56795.0</v>
      </c>
      <c r="CU22" s="8" t="s">
        <v>3</v>
      </c>
      <c r="CZ22" s="31"/>
      <c r="DA22" s="31"/>
      <c r="DC22" s="133"/>
    </row>
    <row r="23" ht="13.5" customHeight="1">
      <c r="B23" s="134">
        <v>1.0</v>
      </c>
      <c r="C23" s="88">
        <f t="shared" si="5"/>
        <v>16</v>
      </c>
      <c r="D23" s="87"/>
      <c r="E23" s="89" t="s">
        <v>132</v>
      </c>
      <c r="F23" s="89">
        <v>1.0</v>
      </c>
      <c r="G23" s="90" t="s">
        <v>106</v>
      </c>
      <c r="H23" s="92" t="s">
        <v>136</v>
      </c>
      <c r="I23" s="92" t="s">
        <v>137</v>
      </c>
      <c r="J23" s="93"/>
      <c r="K23" s="43">
        <f t="shared" si="6"/>
        <v>1</v>
      </c>
      <c r="L23" s="92">
        <v>1.0</v>
      </c>
      <c r="M23" s="92" t="s">
        <v>138</v>
      </c>
      <c r="N23" s="94" t="str">
        <f t="shared" si="7"/>
        <v>Thyssenkrupp | Dynamics Components</v>
      </c>
      <c r="O23" s="94"/>
      <c r="P23" s="94"/>
      <c r="Q23" s="94"/>
      <c r="R23" s="94"/>
      <c r="S23" s="95">
        <v>0.6248</v>
      </c>
      <c r="T23" s="96">
        <f t="shared" si="8"/>
        <v>1539.738316</v>
      </c>
      <c r="U23" s="97">
        <v>962.0285</v>
      </c>
      <c r="V23" s="98" t="s">
        <v>109</v>
      </c>
      <c r="W23" s="99">
        <v>64908.02421376659</v>
      </c>
      <c r="X23" s="100">
        <v>72576.06966978013</v>
      </c>
      <c r="Y23" s="100">
        <v>91779.11140837256</v>
      </c>
      <c r="Z23" s="100">
        <v>95595.64413744169</v>
      </c>
      <c r="AA23" s="100">
        <v>96549.38648174387</v>
      </c>
      <c r="AB23" s="100">
        <v>87761.78567474023</v>
      </c>
      <c r="AC23" s="100">
        <v>89451.76903577402</v>
      </c>
      <c r="AD23" s="100">
        <v>87928.67348583213</v>
      </c>
      <c r="AE23" s="100">
        <v>75681.86355933959</v>
      </c>
      <c r="AF23" s="100">
        <v>74121.05214576687</v>
      </c>
      <c r="AG23" s="100">
        <v>66501.95914488037</v>
      </c>
      <c r="AH23" s="101">
        <v>59173.16104256197</v>
      </c>
      <c r="AI23" s="102">
        <f t="shared" ref="AI23:AT23" si="58">+ W23 * ( 1 + $AJ$3 )</f>
        <v>64908.02421</v>
      </c>
      <c r="AJ23" s="102">
        <f t="shared" si="58"/>
        <v>72576.06967</v>
      </c>
      <c r="AK23" s="102">
        <f t="shared" si="58"/>
        <v>91779.11141</v>
      </c>
      <c r="AL23" s="102">
        <f t="shared" si="58"/>
        <v>95595.64414</v>
      </c>
      <c r="AM23" s="102">
        <f t="shared" si="58"/>
        <v>96549.38648</v>
      </c>
      <c r="AN23" s="102">
        <f t="shared" si="58"/>
        <v>87761.78567</v>
      </c>
      <c r="AO23" s="102">
        <f t="shared" si="58"/>
        <v>89451.76904</v>
      </c>
      <c r="AP23" s="102">
        <f t="shared" si="58"/>
        <v>87928.67349</v>
      </c>
      <c r="AQ23" s="102">
        <f t="shared" si="58"/>
        <v>75681.86356</v>
      </c>
      <c r="AR23" s="102">
        <f t="shared" si="58"/>
        <v>74121.05215</v>
      </c>
      <c r="AS23" s="102">
        <f t="shared" si="58"/>
        <v>66501.95914</v>
      </c>
      <c r="AT23" s="102">
        <f t="shared" si="58"/>
        <v>59173.16104</v>
      </c>
      <c r="AU23" s="104">
        <v>0.0055</v>
      </c>
      <c r="AV23" s="105">
        <v>358498.1</v>
      </c>
      <c r="AW23" s="106">
        <f t="shared" si="10"/>
        <v>0.5737805698</v>
      </c>
      <c r="AX23" s="90" t="s">
        <v>110</v>
      </c>
      <c r="AY23" s="107">
        <v>0.0</v>
      </c>
      <c r="AZ23" s="108">
        <f t="shared" si="11"/>
        <v>0</v>
      </c>
      <c r="BA23" s="109">
        <f t="shared" si="12"/>
        <v>0.5737805698</v>
      </c>
      <c r="BB23" s="110">
        <f t="shared" ref="BB23:BF23" si="59">+IFERROR( $AZ23 * CB23, 0 )</f>
        <v>0</v>
      </c>
      <c r="BC23" s="110">
        <f t="shared" si="59"/>
        <v>0</v>
      </c>
      <c r="BD23" s="110">
        <f t="shared" si="59"/>
        <v>0</v>
      </c>
      <c r="BE23" s="110">
        <f t="shared" si="59"/>
        <v>0</v>
      </c>
      <c r="BF23" s="111">
        <f t="shared" si="59"/>
        <v>0</v>
      </c>
      <c r="BG23" s="112">
        <v>70.6</v>
      </c>
      <c r="BH23" s="113"/>
      <c r="BI23" s="114" t="s">
        <v>27</v>
      </c>
      <c r="BJ23" s="115">
        <v>15.0</v>
      </c>
      <c r="BK23" s="116" t="s">
        <v>111</v>
      </c>
      <c r="BL23" s="117">
        <v>0.04</v>
      </c>
      <c r="BM23" s="118">
        <v>14.0</v>
      </c>
      <c r="BN23" s="119"/>
      <c r="BO23" s="120">
        <v>8747.199999999999</v>
      </c>
      <c r="BP23" s="28">
        <v>0.04</v>
      </c>
      <c r="BQ23" s="43">
        <f t="shared" si="14"/>
        <v>14339.924</v>
      </c>
      <c r="BR23" s="121">
        <v>45641.0</v>
      </c>
      <c r="BS23" s="122">
        <v>196.0</v>
      </c>
      <c r="BT23" s="123">
        <v>45641.0</v>
      </c>
      <c r="BU23" s="123">
        <v>45672.0</v>
      </c>
      <c r="BV23" s="123">
        <v>0.0</v>
      </c>
      <c r="BW23" s="123">
        <v>0.0</v>
      </c>
      <c r="BX23" s="123">
        <v>45776.0</v>
      </c>
      <c r="BY23" s="123">
        <v>46203.0</v>
      </c>
      <c r="BZ23" s="124">
        <v>45778.0</v>
      </c>
      <c r="CA23" s="45">
        <v>51652.0</v>
      </c>
      <c r="CB23" s="125">
        <v>0.7</v>
      </c>
      <c r="CC23" s="125">
        <v>0.2</v>
      </c>
      <c r="CD23" s="125" t="s">
        <v>112</v>
      </c>
      <c r="CE23" s="125" t="s">
        <v>112</v>
      </c>
      <c r="CF23" s="125">
        <v>0.1</v>
      </c>
      <c r="CG23" s="110">
        <f t="shared" ref="CG23:CK23" si="60">+IFERROR( $AV23 * CB23, 0 )</f>
        <v>250948.67</v>
      </c>
      <c r="CH23" s="110">
        <f t="shared" si="60"/>
        <v>71699.62</v>
      </c>
      <c r="CI23" s="110">
        <f t="shared" si="60"/>
        <v>0</v>
      </c>
      <c r="CJ23" s="110">
        <f t="shared" si="60"/>
        <v>0</v>
      </c>
      <c r="CK23" s="110">
        <f t="shared" si="60"/>
        <v>35849.81</v>
      </c>
      <c r="CL23" s="126">
        <f t="shared" si="16"/>
        <v>358498.1</v>
      </c>
      <c r="CM23" s="127">
        <v>49856.0</v>
      </c>
      <c r="CN23" s="128">
        <v>30.0</v>
      </c>
      <c r="CO23" s="129">
        <f t="shared" si="17"/>
        <v>15</v>
      </c>
      <c r="CP23" s="130">
        <v>127.14661148878831</v>
      </c>
      <c r="CQ23" s="131">
        <v>0.0</v>
      </c>
      <c r="CR23" s="132">
        <f t="shared" si="18"/>
        <v>127.1466115</v>
      </c>
      <c r="CS23" s="45">
        <v>57100.0</v>
      </c>
      <c r="CU23" s="8" t="s">
        <v>3</v>
      </c>
      <c r="CZ23" s="31"/>
      <c r="DA23" s="31"/>
      <c r="DC23" s="133"/>
    </row>
    <row r="24" ht="13.5" customHeight="1">
      <c r="B24" s="134">
        <v>1.0</v>
      </c>
      <c r="C24" s="88">
        <f t="shared" si="5"/>
        <v>17</v>
      </c>
      <c r="D24" s="87"/>
      <c r="E24" s="89" t="s">
        <v>139</v>
      </c>
      <c r="F24" s="148">
        <v>2.0</v>
      </c>
      <c r="G24" s="90" t="s">
        <v>106</v>
      </c>
      <c r="H24" s="92" t="s">
        <v>140</v>
      </c>
      <c r="I24" s="92" t="s">
        <v>141</v>
      </c>
      <c r="J24" s="93"/>
      <c r="K24" s="43">
        <f t="shared" si="6"/>
        <v>1</v>
      </c>
      <c r="L24" s="92">
        <v>1.0</v>
      </c>
      <c r="M24" s="92" t="s">
        <v>142</v>
      </c>
      <c r="N24" s="94" t="str">
        <f t="shared" si="7"/>
        <v>American Specialized Textiles | Ámbar - vía 66</v>
      </c>
      <c r="O24" s="94"/>
      <c r="P24" s="94"/>
      <c r="Q24" s="94"/>
      <c r="R24" s="94"/>
      <c r="S24" s="95">
        <v>0.489</v>
      </c>
      <c r="T24" s="96">
        <f t="shared" si="8"/>
        <v>1468.7909</v>
      </c>
      <c r="U24" s="97">
        <v>718.23875</v>
      </c>
      <c r="V24" s="98" t="s">
        <v>109</v>
      </c>
      <c r="W24" s="99">
        <v>53838.82</v>
      </c>
      <c r="X24" s="100">
        <v>57546.92</v>
      </c>
      <c r="Y24" s="100">
        <v>70673.58</v>
      </c>
      <c r="Z24" s="100">
        <v>69475.43</v>
      </c>
      <c r="AA24" s="100">
        <v>69189.87</v>
      </c>
      <c r="AB24" s="100">
        <v>60726.36</v>
      </c>
      <c r="AC24" s="100">
        <v>62642.72</v>
      </c>
      <c r="AD24" s="100">
        <v>61364.07</v>
      </c>
      <c r="AE24" s="100">
        <v>53057.32</v>
      </c>
      <c r="AF24" s="100">
        <v>55519.54</v>
      </c>
      <c r="AG24" s="100">
        <v>53742.15</v>
      </c>
      <c r="AH24" s="101">
        <v>50461.97</v>
      </c>
      <c r="AI24" s="102">
        <f t="shared" ref="AI24:AT24" si="61">+ W24 * ( 1 + $AJ$3 )</f>
        <v>53838.82</v>
      </c>
      <c r="AJ24" s="102">
        <f t="shared" si="61"/>
        <v>57546.92</v>
      </c>
      <c r="AK24" s="102">
        <f t="shared" si="61"/>
        <v>70673.58</v>
      </c>
      <c r="AL24" s="102">
        <f t="shared" si="61"/>
        <v>69475.43</v>
      </c>
      <c r="AM24" s="102">
        <f t="shared" si="61"/>
        <v>69189.87</v>
      </c>
      <c r="AN24" s="102">
        <f t="shared" si="61"/>
        <v>60726.36</v>
      </c>
      <c r="AO24" s="102">
        <f t="shared" si="61"/>
        <v>62642.72</v>
      </c>
      <c r="AP24" s="102">
        <f t="shared" si="61"/>
        <v>61364.07</v>
      </c>
      <c r="AQ24" s="102">
        <f t="shared" si="61"/>
        <v>53057.32</v>
      </c>
      <c r="AR24" s="102">
        <f t="shared" si="61"/>
        <v>55519.54</v>
      </c>
      <c r="AS24" s="102">
        <f t="shared" si="61"/>
        <v>53742.15</v>
      </c>
      <c r="AT24" s="102">
        <f t="shared" si="61"/>
        <v>50461.97</v>
      </c>
      <c r="AU24" s="104">
        <v>0.0055</v>
      </c>
      <c r="AV24" s="149">
        <v>493772.0</v>
      </c>
      <c r="AW24" s="106">
        <f t="shared" si="10"/>
        <v>1.009758691</v>
      </c>
      <c r="AX24" s="90" t="s">
        <v>110</v>
      </c>
      <c r="AY24" s="107">
        <v>0.0</v>
      </c>
      <c r="AZ24" s="108">
        <f t="shared" si="11"/>
        <v>0</v>
      </c>
      <c r="BA24" s="109">
        <f t="shared" si="12"/>
        <v>1.009758691</v>
      </c>
      <c r="BB24" s="110">
        <f t="shared" ref="BB24:BF24" si="62">+IFERROR( $AZ24 * CB24, 0 )</f>
        <v>0</v>
      </c>
      <c r="BC24" s="110">
        <f t="shared" si="62"/>
        <v>0</v>
      </c>
      <c r="BD24" s="110">
        <f t="shared" si="62"/>
        <v>0</v>
      </c>
      <c r="BE24" s="110">
        <f t="shared" si="62"/>
        <v>0</v>
      </c>
      <c r="BF24" s="111">
        <f t="shared" si="62"/>
        <v>0</v>
      </c>
      <c r="BG24" s="112">
        <v>156.9</v>
      </c>
      <c r="BH24" s="113"/>
      <c r="BI24" s="114" t="s">
        <v>27</v>
      </c>
      <c r="BJ24" s="115">
        <v>15.0</v>
      </c>
      <c r="BK24" s="116" t="s">
        <v>111</v>
      </c>
      <c r="BL24" s="117">
        <v>0.04</v>
      </c>
      <c r="BM24" s="118">
        <v>22.420212765957448</v>
      </c>
      <c r="BN24" s="119"/>
      <c r="BO24" s="120">
        <v>10963.484042553193</v>
      </c>
      <c r="BP24" s="28">
        <v>0.04</v>
      </c>
      <c r="BQ24" s="43">
        <f t="shared" si="14"/>
        <v>19750.88</v>
      </c>
      <c r="BR24" s="121">
        <v>45879.0</v>
      </c>
      <c r="BS24" s="122">
        <v>196.0</v>
      </c>
      <c r="BT24" s="123">
        <f t="shared" ref="BT24:BT25" si="66">BR24</f>
        <v>45879</v>
      </c>
      <c r="BU24" s="123">
        <f>BT24+1</f>
        <v>45880</v>
      </c>
      <c r="BV24" s="123">
        <v>0.0</v>
      </c>
      <c r="BW24" s="123">
        <v>0.0</v>
      </c>
      <c r="BX24" s="123">
        <v>45852.0</v>
      </c>
      <c r="BY24" s="123">
        <v>46234.0</v>
      </c>
      <c r="BZ24" s="124">
        <v>45852.0</v>
      </c>
      <c r="CA24" s="45">
        <v>51682.0</v>
      </c>
      <c r="CB24" s="125">
        <v>0.7</v>
      </c>
      <c r="CC24" s="125">
        <v>0.2</v>
      </c>
      <c r="CD24" s="125" t="s">
        <v>112</v>
      </c>
      <c r="CE24" s="125" t="s">
        <v>112</v>
      </c>
      <c r="CF24" s="125">
        <v>0.1</v>
      </c>
      <c r="CG24" s="150">
        <f t="shared" ref="CG24:CK24" si="63">+IFERROR( $AV24 * CB24, 0 )</f>
        <v>345640.4</v>
      </c>
      <c r="CH24" s="150">
        <f t="shared" si="63"/>
        <v>98754.4</v>
      </c>
      <c r="CI24" s="150">
        <f t="shared" si="63"/>
        <v>0</v>
      </c>
      <c r="CJ24" s="150">
        <f t="shared" si="63"/>
        <v>0</v>
      </c>
      <c r="CK24" s="110">
        <f t="shared" si="63"/>
        <v>49377.2</v>
      </c>
      <c r="CL24" s="126">
        <f t="shared" si="16"/>
        <v>493772</v>
      </c>
      <c r="CM24" s="127">
        <v>49887.0</v>
      </c>
      <c r="CN24" s="128">
        <v>30.0</v>
      </c>
      <c r="CO24" s="129">
        <f t="shared" si="17"/>
        <v>15</v>
      </c>
      <c r="CP24" s="130">
        <v>282.5680360140353</v>
      </c>
      <c r="CQ24" s="131">
        <v>0.0</v>
      </c>
      <c r="CR24" s="132">
        <f t="shared" si="18"/>
        <v>282.568036</v>
      </c>
      <c r="CS24" s="45">
        <v>57131.0</v>
      </c>
      <c r="CU24" s="8" t="s">
        <v>3</v>
      </c>
      <c r="CZ24" s="31"/>
      <c r="DA24" s="31"/>
    </row>
    <row r="25" ht="13.5" customHeight="1">
      <c r="B25" s="134">
        <v>1.0</v>
      </c>
      <c r="C25" s="88">
        <f t="shared" si="5"/>
        <v>18</v>
      </c>
      <c r="D25" s="87"/>
      <c r="E25" s="89" t="s">
        <v>139</v>
      </c>
      <c r="F25" s="148">
        <v>2.0</v>
      </c>
      <c r="G25" s="90" t="s">
        <v>106</v>
      </c>
      <c r="H25" s="92" t="s">
        <v>140</v>
      </c>
      <c r="I25" s="92" t="s">
        <v>141</v>
      </c>
      <c r="J25" s="93"/>
      <c r="K25" s="43">
        <f t="shared" si="6"/>
        <v>0</v>
      </c>
      <c r="L25" s="92">
        <v>1.0</v>
      </c>
      <c r="M25" s="92" t="s">
        <v>143</v>
      </c>
      <c r="N25" s="94" t="str">
        <f t="shared" si="7"/>
        <v>American Specialized Textiles | American Textil - vía 68</v>
      </c>
      <c r="O25" s="94"/>
      <c r="P25" s="94"/>
      <c r="Q25" s="94"/>
      <c r="R25" s="94"/>
      <c r="S25" s="95">
        <v>0.621</v>
      </c>
      <c r="T25" s="96">
        <f t="shared" si="8"/>
        <v>1441.607246</v>
      </c>
      <c r="U25" s="97">
        <v>895.2381000000001</v>
      </c>
      <c r="V25" s="98" t="s">
        <v>109</v>
      </c>
      <c r="W25" s="99">
        <v>66512.03</v>
      </c>
      <c r="X25" s="100">
        <v>71212.63</v>
      </c>
      <c r="Y25" s="100">
        <v>87588.38</v>
      </c>
      <c r="Z25" s="100">
        <v>86622.53</v>
      </c>
      <c r="AA25" s="100">
        <v>87079.46</v>
      </c>
      <c r="AB25" s="100">
        <v>76641.44</v>
      </c>
      <c r="AC25" s="100">
        <v>78742.02</v>
      </c>
      <c r="AD25" s="100">
        <v>77098.79</v>
      </c>
      <c r="AE25" s="100">
        <v>66261.88</v>
      </c>
      <c r="AF25" s="100">
        <v>69050.66</v>
      </c>
      <c r="AG25" s="100">
        <v>66306.47</v>
      </c>
      <c r="AH25" s="101">
        <v>62121.81</v>
      </c>
      <c r="AI25" s="102">
        <f t="shared" ref="AI25:AT25" si="64">+ W25 * ( 1 + $AJ$3 )</f>
        <v>66512.03</v>
      </c>
      <c r="AJ25" s="102">
        <f t="shared" si="64"/>
        <v>71212.63</v>
      </c>
      <c r="AK25" s="102">
        <f t="shared" si="64"/>
        <v>87588.38</v>
      </c>
      <c r="AL25" s="102">
        <f t="shared" si="64"/>
        <v>86622.53</v>
      </c>
      <c r="AM25" s="102">
        <f t="shared" si="64"/>
        <v>87079.46</v>
      </c>
      <c r="AN25" s="102">
        <f t="shared" si="64"/>
        <v>76641.44</v>
      </c>
      <c r="AO25" s="102">
        <f t="shared" si="64"/>
        <v>78742.02</v>
      </c>
      <c r="AP25" s="102">
        <f t="shared" si="64"/>
        <v>77098.79</v>
      </c>
      <c r="AQ25" s="102">
        <f t="shared" si="64"/>
        <v>66261.88</v>
      </c>
      <c r="AR25" s="102">
        <f t="shared" si="64"/>
        <v>69050.66</v>
      </c>
      <c r="AS25" s="102">
        <f t="shared" si="64"/>
        <v>66306.47</v>
      </c>
      <c r="AT25" s="102">
        <f t="shared" si="64"/>
        <v>62121.81</v>
      </c>
      <c r="AU25" s="104">
        <v>0.0055</v>
      </c>
      <c r="AV25" s="149">
        <v>622660.0</v>
      </c>
      <c r="AW25" s="106">
        <f t="shared" si="10"/>
        <v>1.002673108</v>
      </c>
      <c r="AX25" s="90" t="s">
        <v>110</v>
      </c>
      <c r="AY25" s="107">
        <v>0.0</v>
      </c>
      <c r="AZ25" s="108">
        <f t="shared" si="11"/>
        <v>0</v>
      </c>
      <c r="BA25" s="109">
        <f t="shared" si="12"/>
        <v>1.002673108</v>
      </c>
      <c r="BB25" s="110">
        <f t="shared" ref="BB25:BF25" si="65">+IFERROR( $AZ25 * CB25, 0 )</f>
        <v>0</v>
      </c>
      <c r="BC25" s="110">
        <f t="shared" si="65"/>
        <v>0</v>
      </c>
      <c r="BD25" s="110">
        <f t="shared" si="65"/>
        <v>0</v>
      </c>
      <c r="BE25" s="110">
        <f t="shared" si="65"/>
        <v>0</v>
      </c>
      <c r="BF25" s="111">
        <f t="shared" si="65"/>
        <v>0</v>
      </c>
      <c r="BG25" s="112">
        <v>105.7</v>
      </c>
      <c r="BH25" s="113"/>
      <c r="BI25" s="114" t="s">
        <v>27</v>
      </c>
      <c r="BJ25" s="115">
        <v>15.0</v>
      </c>
      <c r="BK25" s="116" t="s">
        <v>111</v>
      </c>
      <c r="BL25" s="117">
        <v>0.04</v>
      </c>
      <c r="BM25" s="118">
        <v>22.443264123611783</v>
      </c>
      <c r="BN25" s="119"/>
      <c r="BO25" s="120">
        <v>13937.267020762916</v>
      </c>
      <c r="BP25" s="28">
        <v>0.04</v>
      </c>
      <c r="BQ25" s="43">
        <f t="shared" si="14"/>
        <v>24906.4</v>
      </c>
      <c r="BR25" s="121">
        <v>45879.0</v>
      </c>
      <c r="BS25" s="122">
        <v>196.0</v>
      </c>
      <c r="BT25" s="123">
        <f t="shared" si="66"/>
        <v>45879</v>
      </c>
      <c r="BU25" s="123">
        <f>BT25</f>
        <v>45879</v>
      </c>
      <c r="BV25" s="123">
        <v>0.0</v>
      </c>
      <c r="BW25" s="123">
        <v>0.0</v>
      </c>
      <c r="BX25" s="123">
        <v>45936.0</v>
      </c>
      <c r="BY25" s="123">
        <v>46265.0</v>
      </c>
      <c r="BZ25" s="124">
        <v>45936.0</v>
      </c>
      <c r="CA25" s="45">
        <v>51713.0</v>
      </c>
      <c r="CB25" s="125">
        <v>0.7</v>
      </c>
      <c r="CC25" s="125">
        <v>0.2</v>
      </c>
      <c r="CD25" s="125" t="s">
        <v>112</v>
      </c>
      <c r="CE25" s="125" t="s">
        <v>112</v>
      </c>
      <c r="CF25" s="125">
        <v>0.1</v>
      </c>
      <c r="CG25" s="150">
        <f t="shared" ref="CG25:CK25" si="67">+IFERROR( $AV25 * CB25, 0 )</f>
        <v>435862</v>
      </c>
      <c r="CH25" s="150">
        <f t="shared" si="67"/>
        <v>124532</v>
      </c>
      <c r="CI25" s="150">
        <f t="shared" si="67"/>
        <v>0</v>
      </c>
      <c r="CJ25" s="150">
        <f t="shared" si="67"/>
        <v>0</v>
      </c>
      <c r="CK25" s="110">
        <f t="shared" si="67"/>
        <v>62266</v>
      </c>
      <c r="CL25" s="126">
        <f t="shared" si="16"/>
        <v>622660</v>
      </c>
      <c r="CM25" s="127">
        <v>49918.0</v>
      </c>
      <c r="CN25" s="128">
        <v>30.0</v>
      </c>
      <c r="CO25" s="129">
        <f t="shared" si="17"/>
        <v>15</v>
      </c>
      <c r="CP25" s="130">
        <v>190.3597285320811</v>
      </c>
      <c r="CQ25" s="131">
        <v>0.0</v>
      </c>
      <c r="CR25" s="132">
        <f t="shared" si="18"/>
        <v>190.3597285</v>
      </c>
      <c r="CS25" s="45">
        <v>57161.0</v>
      </c>
      <c r="CU25" s="8" t="s">
        <v>3</v>
      </c>
      <c r="CZ25" s="31"/>
      <c r="DA25" s="31"/>
    </row>
    <row r="26" ht="13.5" customHeight="1">
      <c r="B26" s="134">
        <v>1.0</v>
      </c>
      <c r="C26" s="88">
        <f t="shared" si="5"/>
        <v>19</v>
      </c>
      <c r="D26" s="87"/>
      <c r="E26" s="89" t="s">
        <v>139</v>
      </c>
      <c r="F26" s="148">
        <v>2.0</v>
      </c>
      <c r="G26" s="90" t="s">
        <v>144</v>
      </c>
      <c r="H26" s="92" t="s">
        <v>140</v>
      </c>
      <c r="I26" s="92" t="s">
        <v>141</v>
      </c>
      <c r="J26" s="93"/>
      <c r="K26" s="43">
        <f t="shared" si="6"/>
        <v>0</v>
      </c>
      <c r="L26" s="92">
        <v>1.0</v>
      </c>
      <c r="M26" s="92" t="s">
        <v>145</v>
      </c>
      <c r="N26" s="94" t="str">
        <f t="shared" si="7"/>
        <v>American Specialized Textiles | American Textil BEES - vía 68</v>
      </c>
      <c r="O26" s="94"/>
      <c r="P26" s="95">
        <v>0.5</v>
      </c>
      <c r="Q26" s="95">
        <v>1.074</v>
      </c>
      <c r="R26" s="151">
        <f t="shared" ref="R26:R35" si="71">+ IFERROR(Q26 / P26, 0)</f>
        <v>2.148</v>
      </c>
      <c r="S26" s="95">
        <v>0.0</v>
      </c>
      <c r="T26" s="96">
        <f t="shared" si="8"/>
        <v>0</v>
      </c>
      <c r="U26" s="97">
        <v>0.0</v>
      </c>
      <c r="V26" s="98" t="s">
        <v>109</v>
      </c>
      <c r="W26" s="99">
        <v>0.0</v>
      </c>
      <c r="X26" s="100">
        <v>0.0</v>
      </c>
      <c r="Y26" s="100">
        <v>0.0</v>
      </c>
      <c r="Z26" s="100">
        <v>0.0</v>
      </c>
      <c r="AA26" s="100">
        <v>0.0</v>
      </c>
      <c r="AB26" s="100">
        <v>0.0</v>
      </c>
      <c r="AC26" s="100">
        <v>0.0</v>
      </c>
      <c r="AD26" s="100">
        <v>0.0</v>
      </c>
      <c r="AE26" s="100">
        <v>0.0</v>
      </c>
      <c r="AF26" s="100">
        <v>0.0</v>
      </c>
      <c r="AG26" s="100">
        <v>0.0</v>
      </c>
      <c r="AH26" s="101">
        <v>0.0</v>
      </c>
      <c r="AI26" s="102">
        <f t="shared" ref="AI26:AT26" si="68">+ W26 * ( 1 + $AJ$3 )</f>
        <v>0</v>
      </c>
      <c r="AJ26" s="102">
        <f t="shared" si="68"/>
        <v>0</v>
      </c>
      <c r="AK26" s="102">
        <f t="shared" si="68"/>
        <v>0</v>
      </c>
      <c r="AL26" s="102">
        <f t="shared" si="68"/>
        <v>0</v>
      </c>
      <c r="AM26" s="102">
        <f t="shared" si="68"/>
        <v>0</v>
      </c>
      <c r="AN26" s="102">
        <f t="shared" si="68"/>
        <v>0</v>
      </c>
      <c r="AO26" s="102">
        <f t="shared" si="68"/>
        <v>0</v>
      </c>
      <c r="AP26" s="102">
        <f t="shared" si="68"/>
        <v>0</v>
      </c>
      <c r="AQ26" s="102">
        <f t="shared" si="68"/>
        <v>0</v>
      </c>
      <c r="AR26" s="102">
        <f t="shared" si="68"/>
        <v>0</v>
      </c>
      <c r="AS26" s="102">
        <f t="shared" si="68"/>
        <v>0</v>
      </c>
      <c r="AT26" s="102">
        <f t="shared" si="68"/>
        <v>0</v>
      </c>
      <c r="AU26" s="104">
        <v>0.0</v>
      </c>
      <c r="AV26" s="105">
        <v>620634.0</v>
      </c>
      <c r="AW26" s="106" t="str">
        <f t="shared" si="10"/>
        <v>n.a.</v>
      </c>
      <c r="AX26" s="90" t="s">
        <v>146</v>
      </c>
      <c r="AY26" s="107">
        <v>0.0</v>
      </c>
      <c r="AZ26" s="108">
        <f t="shared" si="11"/>
        <v>0</v>
      </c>
      <c r="BA26" s="109" t="str">
        <f t="shared" si="12"/>
        <v>n.a.</v>
      </c>
      <c r="BB26" s="110">
        <f t="shared" ref="BB26:BF26" si="69">+IFERROR( $AZ26 * CB26, 0 )</f>
        <v>0</v>
      </c>
      <c r="BC26" s="110">
        <f t="shared" si="69"/>
        <v>0</v>
      </c>
      <c r="BD26" s="110">
        <f t="shared" si="69"/>
        <v>0</v>
      </c>
      <c r="BE26" s="110">
        <f t="shared" si="69"/>
        <v>0</v>
      </c>
      <c r="BF26" s="111">
        <f t="shared" si="69"/>
        <v>0</v>
      </c>
      <c r="BG26" s="112"/>
      <c r="BH26" s="113">
        <f>8694.16*12</f>
        <v>104329.92</v>
      </c>
      <c r="BI26" s="114" t="s">
        <v>27</v>
      </c>
      <c r="BJ26" s="115">
        <v>15.0</v>
      </c>
      <c r="BK26" s="116" t="s">
        <v>111</v>
      </c>
      <c r="BL26" s="117">
        <v>0.04</v>
      </c>
      <c r="BM26" s="118"/>
      <c r="BN26" s="119">
        <v>12083.0</v>
      </c>
      <c r="BO26" s="120">
        <v>12083.0</v>
      </c>
      <c r="BP26" s="28">
        <v>0.0</v>
      </c>
      <c r="BQ26" s="43">
        <f t="shared" si="14"/>
        <v>0</v>
      </c>
      <c r="BR26" s="121">
        <v>45879.0</v>
      </c>
      <c r="BS26" s="122">
        <v>238.0</v>
      </c>
      <c r="BT26" s="123">
        <v>0.0</v>
      </c>
      <c r="BU26" s="123">
        <v>0.0</v>
      </c>
      <c r="BV26" s="123">
        <f t="shared" ref="BV26:BV30" si="74">BR26</f>
        <v>45879</v>
      </c>
      <c r="BW26" s="123">
        <f t="shared" ref="BW26:BW30" si="75">EDATE(BV26,1)</f>
        <v>45910</v>
      </c>
      <c r="BX26" s="123">
        <v>0.0</v>
      </c>
      <c r="BY26" s="123">
        <v>45992.0</v>
      </c>
      <c r="BZ26" s="124">
        <v>45992.0</v>
      </c>
      <c r="CA26" s="45">
        <v>51470.0</v>
      </c>
      <c r="CB26" s="125" t="s">
        <v>112</v>
      </c>
      <c r="CC26" s="125" t="s">
        <v>112</v>
      </c>
      <c r="CD26" s="125">
        <v>0.7</v>
      </c>
      <c r="CE26" s="125">
        <v>0.2</v>
      </c>
      <c r="CF26" s="125">
        <v>0.1</v>
      </c>
      <c r="CG26" s="150">
        <f t="shared" ref="CG26:CK26" si="70">+IFERROR( $AV26 * CB26, 0 )</f>
        <v>0</v>
      </c>
      <c r="CH26" s="150">
        <f t="shared" si="70"/>
        <v>0</v>
      </c>
      <c r="CI26" s="150">
        <f t="shared" si="70"/>
        <v>434443.8</v>
      </c>
      <c r="CJ26" s="150">
        <f t="shared" si="70"/>
        <v>124126.8</v>
      </c>
      <c r="CK26" s="110">
        <f t="shared" si="70"/>
        <v>62063.4</v>
      </c>
      <c r="CL26" s="126">
        <f t="shared" si="16"/>
        <v>620634</v>
      </c>
      <c r="CM26" s="127">
        <v>0.0</v>
      </c>
      <c r="CN26" s="128">
        <v>16.0</v>
      </c>
      <c r="CO26" s="129">
        <f t="shared" si="17"/>
        <v>1</v>
      </c>
      <c r="CP26" s="130">
        <v>0.0</v>
      </c>
      <c r="CQ26" s="131">
        <v>0.0</v>
      </c>
      <c r="CR26" s="132">
        <f t="shared" si="18"/>
        <v>0</v>
      </c>
      <c r="CS26" s="45">
        <v>51805.0</v>
      </c>
      <c r="CU26" s="8" t="s">
        <v>3</v>
      </c>
      <c r="CZ26" s="31"/>
      <c r="DA26" s="31"/>
    </row>
    <row r="27" ht="13.5" customHeight="1">
      <c r="B27" s="134">
        <v>1.0</v>
      </c>
      <c r="C27" s="88">
        <f t="shared" si="5"/>
        <v>20</v>
      </c>
      <c r="D27" s="87"/>
      <c r="E27" s="89" t="s">
        <v>139</v>
      </c>
      <c r="F27" s="148">
        <v>2.0</v>
      </c>
      <c r="G27" s="90" t="s">
        <v>144</v>
      </c>
      <c r="H27" s="92" t="s">
        <v>147</v>
      </c>
      <c r="I27" s="92" t="s">
        <v>148</v>
      </c>
      <c r="J27" s="93">
        <v>5.0</v>
      </c>
      <c r="K27" s="43">
        <f t="shared" si="6"/>
        <v>1</v>
      </c>
      <c r="L27" s="92">
        <v>1.0</v>
      </c>
      <c r="M27" s="92" t="s">
        <v>149</v>
      </c>
      <c r="N27" s="94" t="str">
        <f t="shared" si="7"/>
        <v>Playa Hoteles | hotel Hyatt Ziva Cancún</v>
      </c>
      <c r="O27" s="94"/>
      <c r="P27" s="95">
        <v>3.13</v>
      </c>
      <c r="Q27" s="95">
        <v>6.504</v>
      </c>
      <c r="R27" s="151">
        <f t="shared" si="71"/>
        <v>2.077955272</v>
      </c>
      <c r="S27" s="95">
        <v>0.0</v>
      </c>
      <c r="T27" s="96">
        <f t="shared" si="8"/>
        <v>0</v>
      </c>
      <c r="U27" s="97">
        <v>0.0</v>
      </c>
      <c r="V27" s="98" t="s">
        <v>109</v>
      </c>
      <c r="W27" s="99">
        <v>0.0</v>
      </c>
      <c r="X27" s="100">
        <v>0.0</v>
      </c>
      <c r="Y27" s="100">
        <v>0.0</v>
      </c>
      <c r="Z27" s="100">
        <v>0.0</v>
      </c>
      <c r="AA27" s="100">
        <v>0.0</v>
      </c>
      <c r="AB27" s="100">
        <v>0.0</v>
      </c>
      <c r="AC27" s="100">
        <v>0.0</v>
      </c>
      <c r="AD27" s="100">
        <v>0.0</v>
      </c>
      <c r="AE27" s="100">
        <v>0.0</v>
      </c>
      <c r="AF27" s="100">
        <v>0.0</v>
      </c>
      <c r="AG27" s="100">
        <v>0.0</v>
      </c>
      <c r="AH27" s="101">
        <v>0.0</v>
      </c>
      <c r="AI27" s="102">
        <f t="shared" ref="AI27:AT27" si="72">+ W27 * ( 1 + $AJ$3 )</f>
        <v>0</v>
      </c>
      <c r="AJ27" s="102">
        <f t="shared" si="72"/>
        <v>0</v>
      </c>
      <c r="AK27" s="102">
        <f t="shared" si="72"/>
        <v>0</v>
      </c>
      <c r="AL27" s="102">
        <f t="shared" si="72"/>
        <v>0</v>
      </c>
      <c r="AM27" s="102">
        <f t="shared" si="72"/>
        <v>0</v>
      </c>
      <c r="AN27" s="102">
        <f t="shared" si="72"/>
        <v>0</v>
      </c>
      <c r="AO27" s="102">
        <f t="shared" si="72"/>
        <v>0</v>
      </c>
      <c r="AP27" s="102">
        <f t="shared" si="72"/>
        <v>0</v>
      </c>
      <c r="AQ27" s="102">
        <f t="shared" si="72"/>
        <v>0</v>
      </c>
      <c r="AR27" s="102">
        <f t="shared" si="72"/>
        <v>0</v>
      </c>
      <c r="AS27" s="102">
        <f t="shared" si="72"/>
        <v>0</v>
      </c>
      <c r="AT27" s="102">
        <f t="shared" si="72"/>
        <v>0</v>
      </c>
      <c r="AU27" s="104">
        <v>0.0</v>
      </c>
      <c r="AV27" s="105">
        <v>2301096.0</v>
      </c>
      <c r="AW27" s="106" t="str">
        <f t="shared" si="10"/>
        <v>n.a.</v>
      </c>
      <c r="AX27" s="90" t="s">
        <v>146</v>
      </c>
      <c r="AY27" s="107">
        <v>0.0</v>
      </c>
      <c r="AZ27" s="108">
        <f t="shared" si="11"/>
        <v>0</v>
      </c>
      <c r="BA27" s="109" t="str">
        <f t="shared" si="12"/>
        <v>n.a.</v>
      </c>
      <c r="BB27" s="110">
        <f t="shared" ref="BB27:BF27" si="73">+IFERROR( $AZ27 * CB27, 0 )</f>
        <v>0</v>
      </c>
      <c r="BC27" s="110">
        <f t="shared" si="73"/>
        <v>0</v>
      </c>
      <c r="BD27" s="110">
        <f t="shared" si="73"/>
        <v>0</v>
      </c>
      <c r="BE27" s="110">
        <f t="shared" si="73"/>
        <v>0</v>
      </c>
      <c r="BF27" s="111">
        <f t="shared" si="73"/>
        <v>0</v>
      </c>
      <c r="BG27" s="112"/>
      <c r="BH27" s="113">
        <v>349500.0</v>
      </c>
      <c r="BI27" s="114" t="s">
        <v>27</v>
      </c>
      <c r="BJ27" s="115">
        <v>15.0</v>
      </c>
      <c r="BK27" s="116" t="s">
        <v>111</v>
      </c>
      <c r="BL27" s="117">
        <v>0.04</v>
      </c>
      <c r="BM27" s="118"/>
      <c r="BN27" s="119">
        <v>32524.38</v>
      </c>
      <c r="BO27" s="120">
        <v>32524.38</v>
      </c>
      <c r="BP27" s="28">
        <v>0.0</v>
      </c>
      <c r="BQ27" s="43">
        <f t="shared" si="14"/>
        <v>0</v>
      </c>
      <c r="BR27" s="121">
        <v>45879.0</v>
      </c>
      <c r="BS27" s="122">
        <v>196.0</v>
      </c>
      <c r="BT27" s="123">
        <v>0.0</v>
      </c>
      <c r="BU27" s="123">
        <v>0.0</v>
      </c>
      <c r="BV27" s="123">
        <f t="shared" si="74"/>
        <v>45879</v>
      </c>
      <c r="BW27" s="123">
        <f t="shared" si="75"/>
        <v>45910</v>
      </c>
      <c r="BX27" s="123">
        <v>0.0</v>
      </c>
      <c r="BY27" s="123">
        <v>46031.0</v>
      </c>
      <c r="BZ27" s="124">
        <v>46031.0</v>
      </c>
      <c r="CA27" s="45">
        <v>51866.0</v>
      </c>
      <c r="CB27" s="125" t="s">
        <v>112</v>
      </c>
      <c r="CC27" s="125" t="s">
        <v>112</v>
      </c>
      <c r="CD27" s="125">
        <v>0.7</v>
      </c>
      <c r="CE27" s="125">
        <v>0.2</v>
      </c>
      <c r="CF27" s="125">
        <v>0.1</v>
      </c>
      <c r="CG27" s="150">
        <f t="shared" ref="CG27:CK27" si="76">+IFERROR( $AV27 * CB27, 0 )</f>
        <v>0</v>
      </c>
      <c r="CH27" s="150">
        <f t="shared" si="76"/>
        <v>0</v>
      </c>
      <c r="CI27" s="150">
        <f t="shared" si="76"/>
        <v>1610767.2</v>
      </c>
      <c r="CJ27" s="152">
        <f t="shared" si="76"/>
        <v>460219.2</v>
      </c>
      <c r="CK27" s="110">
        <f t="shared" si="76"/>
        <v>230109.6</v>
      </c>
      <c r="CL27" s="126">
        <f t="shared" si="16"/>
        <v>2301096</v>
      </c>
      <c r="CM27" s="127">
        <v>0.0</v>
      </c>
      <c r="CN27" s="128">
        <v>16.0</v>
      </c>
      <c r="CO27" s="129">
        <f t="shared" si="17"/>
        <v>1</v>
      </c>
      <c r="CP27" s="130">
        <v>0.0</v>
      </c>
      <c r="CQ27" s="131">
        <v>0.0</v>
      </c>
      <c r="CR27" s="132">
        <f t="shared" si="18"/>
        <v>0</v>
      </c>
      <c r="CS27" s="45">
        <v>52200.0</v>
      </c>
      <c r="CU27" s="8" t="s">
        <v>3</v>
      </c>
      <c r="CZ27" s="31"/>
      <c r="DA27" s="31"/>
      <c r="DC27" s="153"/>
    </row>
    <row r="28" ht="13.5" customHeight="1">
      <c r="B28" s="134">
        <v>1.0</v>
      </c>
      <c r="C28" s="88">
        <f t="shared" si="5"/>
        <v>21</v>
      </c>
      <c r="D28" s="87"/>
      <c r="E28" s="89" t="s">
        <v>139</v>
      </c>
      <c r="F28" s="148">
        <v>2.0</v>
      </c>
      <c r="G28" s="90" t="s">
        <v>144</v>
      </c>
      <c r="H28" s="92" t="s">
        <v>147</v>
      </c>
      <c r="I28" s="92" t="s">
        <v>148</v>
      </c>
      <c r="J28" s="93">
        <v>5.0</v>
      </c>
      <c r="K28" s="43">
        <f t="shared" si="6"/>
        <v>0</v>
      </c>
      <c r="L28" s="92">
        <v>1.0</v>
      </c>
      <c r="M28" s="92" t="s">
        <v>150</v>
      </c>
      <c r="N28" s="94" t="str">
        <f t="shared" si="7"/>
        <v>Playa Hoteles | Hilton Playa del Carmen</v>
      </c>
      <c r="O28" s="94"/>
      <c r="P28" s="95">
        <v>2.556</v>
      </c>
      <c r="Q28" s="95">
        <v>4.472</v>
      </c>
      <c r="R28" s="151">
        <f t="shared" si="71"/>
        <v>1.749608764</v>
      </c>
      <c r="S28" s="95">
        <v>0.0</v>
      </c>
      <c r="T28" s="96">
        <f t="shared" si="8"/>
        <v>0</v>
      </c>
      <c r="U28" s="97">
        <v>0.0</v>
      </c>
      <c r="V28" s="98" t="s">
        <v>109</v>
      </c>
      <c r="W28" s="99">
        <v>0.0</v>
      </c>
      <c r="X28" s="100">
        <v>0.0</v>
      </c>
      <c r="Y28" s="100">
        <v>0.0</v>
      </c>
      <c r="Z28" s="100">
        <v>0.0</v>
      </c>
      <c r="AA28" s="100">
        <v>0.0</v>
      </c>
      <c r="AB28" s="100">
        <v>0.0</v>
      </c>
      <c r="AC28" s="100">
        <v>0.0</v>
      </c>
      <c r="AD28" s="100">
        <v>0.0</v>
      </c>
      <c r="AE28" s="100">
        <v>0.0</v>
      </c>
      <c r="AF28" s="100">
        <v>0.0</v>
      </c>
      <c r="AG28" s="100">
        <v>0.0</v>
      </c>
      <c r="AH28" s="101">
        <v>0.0</v>
      </c>
      <c r="AI28" s="102">
        <f t="shared" ref="AI28:AT28" si="77">+ W28 * ( 1 + $AJ$3 )</f>
        <v>0</v>
      </c>
      <c r="AJ28" s="102">
        <f t="shared" si="77"/>
        <v>0</v>
      </c>
      <c r="AK28" s="102">
        <f t="shared" si="77"/>
        <v>0</v>
      </c>
      <c r="AL28" s="102">
        <f t="shared" si="77"/>
        <v>0</v>
      </c>
      <c r="AM28" s="102">
        <f t="shared" si="77"/>
        <v>0</v>
      </c>
      <c r="AN28" s="102">
        <f t="shared" si="77"/>
        <v>0</v>
      </c>
      <c r="AO28" s="102">
        <f t="shared" si="77"/>
        <v>0</v>
      </c>
      <c r="AP28" s="102">
        <f t="shared" si="77"/>
        <v>0</v>
      </c>
      <c r="AQ28" s="102">
        <f t="shared" si="77"/>
        <v>0</v>
      </c>
      <c r="AR28" s="102">
        <f t="shared" si="77"/>
        <v>0</v>
      </c>
      <c r="AS28" s="102">
        <f t="shared" si="77"/>
        <v>0</v>
      </c>
      <c r="AT28" s="102">
        <f t="shared" si="77"/>
        <v>0</v>
      </c>
      <c r="AU28" s="104">
        <v>0.0</v>
      </c>
      <c r="AV28" s="105">
        <v>1546841.5975609757</v>
      </c>
      <c r="AW28" s="106" t="str">
        <f t="shared" si="10"/>
        <v>n.a.</v>
      </c>
      <c r="AX28" s="90" t="s">
        <v>146</v>
      </c>
      <c r="AY28" s="107">
        <v>0.0</v>
      </c>
      <c r="AZ28" s="108">
        <f t="shared" si="11"/>
        <v>0</v>
      </c>
      <c r="BA28" s="109" t="str">
        <f t="shared" si="12"/>
        <v>n.a.</v>
      </c>
      <c r="BB28" s="110">
        <f t="shared" ref="BB28:BF28" si="78">+IFERROR( $AZ28 * CB28, 0 )</f>
        <v>0</v>
      </c>
      <c r="BC28" s="110">
        <f t="shared" si="78"/>
        <v>0</v>
      </c>
      <c r="BD28" s="110">
        <f t="shared" si="78"/>
        <v>0</v>
      </c>
      <c r="BE28" s="110">
        <f t="shared" si="78"/>
        <v>0</v>
      </c>
      <c r="BF28" s="111">
        <f t="shared" si="78"/>
        <v>0</v>
      </c>
      <c r="BG28" s="112"/>
      <c r="BH28" s="113">
        <f>243580</f>
        <v>243580</v>
      </c>
      <c r="BI28" s="114" t="s">
        <v>27</v>
      </c>
      <c r="BJ28" s="115">
        <v>15.0</v>
      </c>
      <c r="BK28" s="116" t="s">
        <v>111</v>
      </c>
      <c r="BL28" s="117">
        <v>0.04</v>
      </c>
      <c r="BM28" s="118"/>
      <c r="BN28" s="119">
        <v>26825.93</v>
      </c>
      <c r="BO28" s="120">
        <v>26825.93</v>
      </c>
      <c r="BP28" s="28">
        <v>0.0</v>
      </c>
      <c r="BQ28" s="43">
        <f t="shared" si="14"/>
        <v>0</v>
      </c>
      <c r="BR28" s="121">
        <v>45879.0</v>
      </c>
      <c r="BS28" s="122">
        <v>294.0</v>
      </c>
      <c r="BT28" s="123">
        <v>0.0</v>
      </c>
      <c r="BU28" s="123">
        <v>0.0</v>
      </c>
      <c r="BV28" s="123">
        <f t="shared" si="74"/>
        <v>45879</v>
      </c>
      <c r="BW28" s="123">
        <f t="shared" si="75"/>
        <v>45910</v>
      </c>
      <c r="BX28" s="123">
        <v>0.0</v>
      </c>
      <c r="BY28" s="123">
        <v>46132.0</v>
      </c>
      <c r="BZ28" s="124">
        <v>46132.0</v>
      </c>
      <c r="CA28" s="45">
        <v>51956.0</v>
      </c>
      <c r="CB28" s="125" t="s">
        <v>112</v>
      </c>
      <c r="CC28" s="125" t="s">
        <v>112</v>
      </c>
      <c r="CD28" s="125">
        <v>0.7</v>
      </c>
      <c r="CE28" s="125">
        <v>0.2</v>
      </c>
      <c r="CF28" s="125">
        <v>0.1</v>
      </c>
      <c r="CG28" s="150">
        <f t="shared" ref="CG28:CK28" si="79">+IFERROR( $AV28 * CB28, 0 )</f>
        <v>0</v>
      </c>
      <c r="CH28" s="150">
        <f t="shared" si="79"/>
        <v>0</v>
      </c>
      <c r="CI28" s="150">
        <f t="shared" si="79"/>
        <v>1082789.118</v>
      </c>
      <c r="CJ28" s="152">
        <f t="shared" si="79"/>
        <v>309368.3195</v>
      </c>
      <c r="CK28" s="110">
        <f t="shared" si="79"/>
        <v>154684.1598</v>
      </c>
      <c r="CL28" s="126">
        <f t="shared" si="16"/>
        <v>1546841.598</v>
      </c>
      <c r="CM28" s="127">
        <v>0.0</v>
      </c>
      <c r="CN28" s="128">
        <v>16.0</v>
      </c>
      <c r="CO28" s="129">
        <f t="shared" si="17"/>
        <v>1</v>
      </c>
      <c r="CP28" s="130">
        <v>0.0</v>
      </c>
      <c r="CQ28" s="131">
        <v>0.0</v>
      </c>
      <c r="CR28" s="132">
        <f t="shared" si="18"/>
        <v>0</v>
      </c>
      <c r="CS28" s="45">
        <v>52290.0</v>
      </c>
      <c r="CU28" s="8" t="s">
        <v>3</v>
      </c>
      <c r="CZ28" s="31"/>
      <c r="DA28" s="31"/>
      <c r="DC28" s="153"/>
    </row>
    <row r="29" ht="13.5" customHeight="1">
      <c r="B29" s="134">
        <v>1.0</v>
      </c>
      <c r="C29" s="88">
        <f t="shared" si="5"/>
        <v>22</v>
      </c>
      <c r="D29" s="87"/>
      <c r="E29" s="89" t="s">
        <v>132</v>
      </c>
      <c r="F29" s="89">
        <v>1.0</v>
      </c>
      <c r="G29" s="90" t="s">
        <v>144</v>
      </c>
      <c r="H29" s="92" t="s">
        <v>147</v>
      </c>
      <c r="I29" s="92" t="s">
        <v>148</v>
      </c>
      <c r="J29" s="93">
        <v>5.0</v>
      </c>
      <c r="K29" s="43">
        <f t="shared" si="6"/>
        <v>0</v>
      </c>
      <c r="L29" s="92">
        <v>1.0</v>
      </c>
      <c r="M29" s="92" t="s">
        <v>151</v>
      </c>
      <c r="N29" s="94" t="str">
        <f t="shared" si="7"/>
        <v>Playa Hoteles | Wyndham Alltra Cancun</v>
      </c>
      <c r="O29" s="94"/>
      <c r="P29" s="95">
        <v>1.0</v>
      </c>
      <c r="Q29" s="95">
        <v>2.032</v>
      </c>
      <c r="R29" s="151">
        <f t="shared" si="71"/>
        <v>2.032</v>
      </c>
      <c r="S29" s="95">
        <v>0.0</v>
      </c>
      <c r="T29" s="96">
        <f t="shared" si="8"/>
        <v>0</v>
      </c>
      <c r="U29" s="97">
        <v>0.0</v>
      </c>
      <c r="V29" s="98" t="s">
        <v>109</v>
      </c>
      <c r="W29" s="99">
        <v>0.0</v>
      </c>
      <c r="X29" s="100">
        <v>0.0</v>
      </c>
      <c r="Y29" s="100">
        <v>0.0</v>
      </c>
      <c r="Z29" s="100">
        <v>0.0</v>
      </c>
      <c r="AA29" s="100">
        <v>0.0</v>
      </c>
      <c r="AB29" s="100">
        <v>0.0</v>
      </c>
      <c r="AC29" s="100">
        <v>0.0</v>
      </c>
      <c r="AD29" s="100">
        <v>0.0</v>
      </c>
      <c r="AE29" s="100">
        <v>0.0</v>
      </c>
      <c r="AF29" s="100">
        <v>0.0</v>
      </c>
      <c r="AG29" s="100">
        <v>0.0</v>
      </c>
      <c r="AH29" s="101">
        <v>0.0</v>
      </c>
      <c r="AI29" s="102">
        <f t="shared" ref="AI29:AT29" si="80">+ W29 * ( 1 + $AJ$3 )</f>
        <v>0</v>
      </c>
      <c r="AJ29" s="102">
        <f t="shared" si="80"/>
        <v>0</v>
      </c>
      <c r="AK29" s="102">
        <f t="shared" si="80"/>
        <v>0</v>
      </c>
      <c r="AL29" s="102">
        <f t="shared" si="80"/>
        <v>0</v>
      </c>
      <c r="AM29" s="102">
        <f t="shared" si="80"/>
        <v>0</v>
      </c>
      <c r="AN29" s="102">
        <f t="shared" si="80"/>
        <v>0</v>
      </c>
      <c r="AO29" s="102">
        <f t="shared" si="80"/>
        <v>0</v>
      </c>
      <c r="AP29" s="102">
        <f t="shared" si="80"/>
        <v>0</v>
      </c>
      <c r="AQ29" s="102">
        <f t="shared" si="80"/>
        <v>0</v>
      </c>
      <c r="AR29" s="102">
        <f t="shared" si="80"/>
        <v>0</v>
      </c>
      <c r="AS29" s="102">
        <f t="shared" si="80"/>
        <v>0</v>
      </c>
      <c r="AT29" s="102">
        <f t="shared" si="80"/>
        <v>0</v>
      </c>
      <c r="AU29" s="104">
        <v>0.0</v>
      </c>
      <c r="AV29" s="105">
        <v>744309.768292683</v>
      </c>
      <c r="AW29" s="106" t="str">
        <f t="shared" si="10"/>
        <v>n.a.</v>
      </c>
      <c r="AX29" s="90" t="s">
        <v>146</v>
      </c>
      <c r="AY29" s="107">
        <v>0.0</v>
      </c>
      <c r="AZ29" s="108">
        <f t="shared" si="11"/>
        <v>0</v>
      </c>
      <c r="BA29" s="109" t="str">
        <f t="shared" si="12"/>
        <v>n.a.</v>
      </c>
      <c r="BB29" s="110">
        <f t="shared" ref="BB29:BF29" si="81">+IFERROR( $AZ29 * CB29, 0 )</f>
        <v>0</v>
      </c>
      <c r="BC29" s="110">
        <f t="shared" si="81"/>
        <v>0</v>
      </c>
      <c r="BD29" s="110">
        <f t="shared" si="81"/>
        <v>0</v>
      </c>
      <c r="BE29" s="110">
        <f t="shared" si="81"/>
        <v>0</v>
      </c>
      <c r="BF29" s="111">
        <f t="shared" si="81"/>
        <v>0</v>
      </c>
      <c r="BG29" s="112"/>
      <c r="BH29" s="113">
        <v>128740.0</v>
      </c>
      <c r="BI29" s="114" t="s">
        <v>27</v>
      </c>
      <c r="BJ29" s="115">
        <v>15.0</v>
      </c>
      <c r="BK29" s="116" t="s">
        <v>111</v>
      </c>
      <c r="BL29" s="117">
        <v>0.04</v>
      </c>
      <c r="BM29" s="118"/>
      <c r="BN29" s="119">
        <v>14224.0</v>
      </c>
      <c r="BO29" s="120">
        <v>14224.0</v>
      </c>
      <c r="BP29" s="28">
        <v>0.0</v>
      </c>
      <c r="BQ29" s="43">
        <f t="shared" si="14"/>
        <v>0</v>
      </c>
      <c r="BR29" s="121">
        <v>45879.0</v>
      </c>
      <c r="BS29" s="122">
        <v>196.0</v>
      </c>
      <c r="BT29" s="123">
        <v>0.0</v>
      </c>
      <c r="BU29" s="123">
        <v>0.0</v>
      </c>
      <c r="BV29" s="123">
        <f t="shared" si="74"/>
        <v>45879</v>
      </c>
      <c r="BW29" s="123">
        <f t="shared" si="75"/>
        <v>45910</v>
      </c>
      <c r="BX29" s="123">
        <v>0.0</v>
      </c>
      <c r="BY29" s="123">
        <v>46031.0</v>
      </c>
      <c r="BZ29" s="124">
        <v>46031.0</v>
      </c>
      <c r="CA29" s="45">
        <v>51866.0</v>
      </c>
      <c r="CB29" s="125" t="s">
        <v>112</v>
      </c>
      <c r="CC29" s="125" t="s">
        <v>112</v>
      </c>
      <c r="CD29" s="125">
        <v>0.7</v>
      </c>
      <c r="CE29" s="125">
        <v>0.2</v>
      </c>
      <c r="CF29" s="125">
        <v>0.1</v>
      </c>
      <c r="CG29" s="150">
        <f t="shared" ref="CG29:CK29" si="82">+IFERROR( $AV29 * CB29, 0 )</f>
        <v>0</v>
      </c>
      <c r="CH29" s="150">
        <f t="shared" si="82"/>
        <v>0</v>
      </c>
      <c r="CI29" s="150">
        <f t="shared" si="82"/>
        <v>521016.8378</v>
      </c>
      <c r="CJ29" s="152">
        <f t="shared" si="82"/>
        <v>148861.9537</v>
      </c>
      <c r="CK29" s="110">
        <f t="shared" si="82"/>
        <v>74430.97683</v>
      </c>
      <c r="CL29" s="126">
        <f t="shared" si="16"/>
        <v>744309.7683</v>
      </c>
      <c r="CM29" s="127">
        <v>0.0</v>
      </c>
      <c r="CN29" s="128">
        <v>16.0</v>
      </c>
      <c r="CO29" s="129">
        <f t="shared" si="17"/>
        <v>1</v>
      </c>
      <c r="CP29" s="130">
        <v>0.0</v>
      </c>
      <c r="CQ29" s="131">
        <v>0.0</v>
      </c>
      <c r="CR29" s="132">
        <f t="shared" si="18"/>
        <v>0</v>
      </c>
      <c r="CS29" s="45">
        <v>52200.0</v>
      </c>
      <c r="CU29" s="8" t="s">
        <v>3</v>
      </c>
      <c r="CZ29" s="31"/>
      <c r="DA29" s="31"/>
      <c r="DC29" s="153"/>
    </row>
    <row r="30" ht="13.5" customHeight="1">
      <c r="B30" s="134">
        <v>1.0</v>
      </c>
      <c r="C30" s="88">
        <f t="shared" si="5"/>
        <v>23</v>
      </c>
      <c r="D30" s="87"/>
      <c r="E30" s="89" t="s">
        <v>152</v>
      </c>
      <c r="F30" s="89">
        <v>2.0</v>
      </c>
      <c r="G30" s="90" t="s">
        <v>144</v>
      </c>
      <c r="H30" s="92" t="s">
        <v>147</v>
      </c>
      <c r="I30" s="92" t="s">
        <v>148</v>
      </c>
      <c r="J30" s="93">
        <v>0.0</v>
      </c>
      <c r="K30" s="43">
        <f t="shared" si="6"/>
        <v>0</v>
      </c>
      <c r="L30" s="92">
        <v>1.0</v>
      </c>
      <c r="M30" s="92" t="s">
        <v>153</v>
      </c>
      <c r="N30" s="94" t="str">
        <f t="shared" si="7"/>
        <v>Playa Hoteles | Hyatt Zilara Cancun</v>
      </c>
      <c r="O30" s="94"/>
      <c r="P30" s="95">
        <v>1.0</v>
      </c>
      <c r="Q30" s="95">
        <v>2.032</v>
      </c>
      <c r="R30" s="151">
        <f t="shared" si="71"/>
        <v>2.032</v>
      </c>
      <c r="S30" s="95">
        <v>0.0</v>
      </c>
      <c r="T30" s="96">
        <f t="shared" si="8"/>
        <v>0</v>
      </c>
      <c r="U30" s="97">
        <v>0.0</v>
      </c>
      <c r="V30" s="98" t="s">
        <v>109</v>
      </c>
      <c r="W30" s="99">
        <v>0.0</v>
      </c>
      <c r="X30" s="100">
        <v>0.0</v>
      </c>
      <c r="Y30" s="100">
        <v>0.0</v>
      </c>
      <c r="Z30" s="100">
        <v>0.0</v>
      </c>
      <c r="AA30" s="100">
        <v>0.0</v>
      </c>
      <c r="AB30" s="100">
        <v>0.0</v>
      </c>
      <c r="AC30" s="100">
        <v>0.0</v>
      </c>
      <c r="AD30" s="100">
        <v>0.0</v>
      </c>
      <c r="AE30" s="100">
        <v>0.0</v>
      </c>
      <c r="AF30" s="100">
        <v>0.0</v>
      </c>
      <c r="AG30" s="100">
        <v>0.0</v>
      </c>
      <c r="AH30" s="101">
        <v>0.0</v>
      </c>
      <c r="AI30" s="102">
        <f t="shared" ref="AI30:AT30" si="83">+ W30 * ( 1 + $AJ$3 )</f>
        <v>0</v>
      </c>
      <c r="AJ30" s="102">
        <f t="shared" si="83"/>
        <v>0</v>
      </c>
      <c r="AK30" s="102">
        <f t="shared" si="83"/>
        <v>0</v>
      </c>
      <c r="AL30" s="102">
        <f t="shared" si="83"/>
        <v>0</v>
      </c>
      <c r="AM30" s="102">
        <f t="shared" si="83"/>
        <v>0</v>
      </c>
      <c r="AN30" s="102">
        <f t="shared" si="83"/>
        <v>0</v>
      </c>
      <c r="AO30" s="102">
        <f t="shared" si="83"/>
        <v>0</v>
      </c>
      <c r="AP30" s="102">
        <f t="shared" si="83"/>
        <v>0</v>
      </c>
      <c r="AQ30" s="102">
        <f t="shared" si="83"/>
        <v>0</v>
      </c>
      <c r="AR30" s="102">
        <f t="shared" si="83"/>
        <v>0</v>
      </c>
      <c r="AS30" s="102">
        <f t="shared" si="83"/>
        <v>0</v>
      </c>
      <c r="AT30" s="102">
        <f t="shared" si="83"/>
        <v>0</v>
      </c>
      <c r="AU30" s="104">
        <v>0.0</v>
      </c>
      <c r="AV30" s="105">
        <v>788774.0045615342</v>
      </c>
      <c r="AW30" s="106" t="str">
        <f t="shared" si="10"/>
        <v>n.a.</v>
      </c>
      <c r="AX30" s="90" t="s">
        <v>146</v>
      </c>
      <c r="AY30" s="107">
        <v>0.0</v>
      </c>
      <c r="AZ30" s="108">
        <f t="shared" si="11"/>
        <v>0</v>
      </c>
      <c r="BA30" s="109" t="str">
        <f t="shared" si="12"/>
        <v>n.a.</v>
      </c>
      <c r="BB30" s="110">
        <f t="shared" ref="BB30:BF30" si="84">+IFERROR( $AZ30 * CB30, 0 )</f>
        <v>0</v>
      </c>
      <c r="BC30" s="110">
        <f t="shared" si="84"/>
        <v>0</v>
      </c>
      <c r="BD30" s="110">
        <f t="shared" si="84"/>
        <v>0</v>
      </c>
      <c r="BE30" s="110">
        <f t="shared" si="84"/>
        <v>0</v>
      </c>
      <c r="BF30" s="111">
        <f t="shared" si="84"/>
        <v>0</v>
      </c>
      <c r="BG30" s="112"/>
      <c r="BH30" s="113">
        <v>126339.0</v>
      </c>
      <c r="BI30" s="114" t="s">
        <v>27</v>
      </c>
      <c r="BJ30" s="115">
        <v>15.0</v>
      </c>
      <c r="BK30" s="116" t="s">
        <v>111</v>
      </c>
      <c r="BL30" s="117">
        <v>0.04</v>
      </c>
      <c r="BM30" s="118"/>
      <c r="BN30" s="119">
        <v>14223.55</v>
      </c>
      <c r="BO30" s="120">
        <v>14223.55</v>
      </c>
      <c r="BP30" s="28">
        <v>0.0</v>
      </c>
      <c r="BQ30" s="43">
        <f t="shared" si="14"/>
        <v>0</v>
      </c>
      <c r="BR30" s="121">
        <v>45962.0</v>
      </c>
      <c r="BS30" s="122">
        <v>252.0</v>
      </c>
      <c r="BT30" s="123">
        <v>0.0</v>
      </c>
      <c r="BU30" s="123">
        <v>0.0</v>
      </c>
      <c r="BV30" s="123">
        <f t="shared" si="74"/>
        <v>45962</v>
      </c>
      <c r="BW30" s="123">
        <f t="shared" si="75"/>
        <v>45992</v>
      </c>
      <c r="BX30" s="123">
        <v>0.0</v>
      </c>
      <c r="BY30" s="123">
        <v>46095.0</v>
      </c>
      <c r="BZ30" s="124">
        <v>46095.0</v>
      </c>
      <c r="CA30" s="45">
        <v>51925.0</v>
      </c>
      <c r="CB30" s="125" t="s">
        <v>112</v>
      </c>
      <c r="CC30" s="125" t="s">
        <v>112</v>
      </c>
      <c r="CD30" s="125">
        <v>0.7</v>
      </c>
      <c r="CE30" s="125">
        <v>0.2</v>
      </c>
      <c r="CF30" s="125">
        <v>0.1</v>
      </c>
      <c r="CG30" s="150">
        <f t="shared" ref="CG30:CK30" si="85">+IFERROR( $AV30 * CB30, 0 )</f>
        <v>0</v>
      </c>
      <c r="CH30" s="150">
        <f t="shared" si="85"/>
        <v>0</v>
      </c>
      <c r="CI30" s="150">
        <f t="shared" si="85"/>
        <v>552141.8032</v>
      </c>
      <c r="CJ30" s="150">
        <f t="shared" si="85"/>
        <v>157754.8009</v>
      </c>
      <c r="CK30" s="110">
        <f t="shared" si="85"/>
        <v>78877.40046</v>
      </c>
      <c r="CL30" s="126">
        <f t="shared" si="16"/>
        <v>788774.0046</v>
      </c>
      <c r="CM30" s="127">
        <v>0.0</v>
      </c>
      <c r="CN30" s="128">
        <v>16.0</v>
      </c>
      <c r="CO30" s="129">
        <f t="shared" si="17"/>
        <v>1</v>
      </c>
      <c r="CP30" s="130">
        <v>0.0</v>
      </c>
      <c r="CQ30" s="131">
        <v>0.0</v>
      </c>
      <c r="CR30" s="132">
        <f t="shared" si="18"/>
        <v>0</v>
      </c>
      <c r="CS30" s="45">
        <v>52262.0</v>
      </c>
      <c r="CU30" s="8" t="s">
        <v>3</v>
      </c>
      <c r="CZ30" s="31"/>
      <c r="DA30" s="31"/>
      <c r="DC30" s="153"/>
    </row>
    <row r="31" ht="13.5" customHeight="1">
      <c r="B31" s="134">
        <v>1.0</v>
      </c>
      <c r="C31" s="88">
        <f t="shared" si="5"/>
        <v>24</v>
      </c>
      <c r="D31" s="87"/>
      <c r="E31" s="89" t="s">
        <v>139</v>
      </c>
      <c r="F31" s="148">
        <v>2.0</v>
      </c>
      <c r="G31" s="90" t="s">
        <v>106</v>
      </c>
      <c r="H31" s="92" t="s">
        <v>154</v>
      </c>
      <c r="I31" s="92" t="s">
        <v>155</v>
      </c>
      <c r="J31" s="93"/>
      <c r="K31" s="43">
        <f t="shared" si="6"/>
        <v>1</v>
      </c>
      <c r="L31" s="92">
        <v>1.0</v>
      </c>
      <c r="M31" s="92" t="s">
        <v>156</v>
      </c>
      <c r="N31" s="94" t="str">
        <f t="shared" si="7"/>
        <v>Antex | Tlaxcala</v>
      </c>
      <c r="O31" s="94"/>
      <c r="P31" s="95"/>
      <c r="Q31" s="95"/>
      <c r="R31" s="154">
        <f t="shared" si="71"/>
        <v>0</v>
      </c>
      <c r="S31" s="95">
        <v>0.8447</v>
      </c>
      <c r="T31" s="96">
        <f t="shared" si="8"/>
        <v>1502.62827</v>
      </c>
      <c r="U31" s="97">
        <f t="shared" ref="U31:U32" si="89">SUM(W31:AH31)/1000</f>
        <v>1269.2701</v>
      </c>
      <c r="V31" s="98" t="s">
        <v>109</v>
      </c>
      <c r="W31" s="99">
        <v>90363.8</v>
      </c>
      <c r="X31" s="100">
        <v>96685.7</v>
      </c>
      <c r="Y31" s="100">
        <v>120517.3</v>
      </c>
      <c r="Z31" s="100">
        <v>121503.3</v>
      </c>
      <c r="AA31" s="100">
        <v>124891.2</v>
      </c>
      <c r="AB31" s="100">
        <v>112931.6</v>
      </c>
      <c r="AC31" s="100">
        <v>118005.8</v>
      </c>
      <c r="AD31" s="100">
        <v>114523.9</v>
      </c>
      <c r="AE31" s="100">
        <v>97789.3</v>
      </c>
      <c r="AF31" s="100">
        <v>98355.6</v>
      </c>
      <c r="AG31" s="100">
        <v>90828.5</v>
      </c>
      <c r="AH31" s="101">
        <v>82874.1</v>
      </c>
      <c r="AI31" s="102">
        <f t="shared" ref="AI31:AT31" si="86">+ W31 * ( 1 + $AJ$3 )</f>
        <v>90363.8</v>
      </c>
      <c r="AJ31" s="102">
        <f t="shared" si="86"/>
        <v>96685.7</v>
      </c>
      <c r="AK31" s="102">
        <f t="shared" si="86"/>
        <v>120517.3</v>
      </c>
      <c r="AL31" s="102">
        <f t="shared" si="86"/>
        <v>121503.3</v>
      </c>
      <c r="AM31" s="102">
        <f t="shared" si="86"/>
        <v>124891.2</v>
      </c>
      <c r="AN31" s="102">
        <f t="shared" si="86"/>
        <v>112931.6</v>
      </c>
      <c r="AO31" s="102">
        <f t="shared" si="86"/>
        <v>118005.8</v>
      </c>
      <c r="AP31" s="102">
        <f t="shared" si="86"/>
        <v>114523.9</v>
      </c>
      <c r="AQ31" s="102">
        <f t="shared" si="86"/>
        <v>97789.3</v>
      </c>
      <c r="AR31" s="102">
        <f t="shared" si="86"/>
        <v>98355.6</v>
      </c>
      <c r="AS31" s="102">
        <f t="shared" si="86"/>
        <v>90828.5</v>
      </c>
      <c r="AT31" s="102">
        <f t="shared" si="86"/>
        <v>82874.1</v>
      </c>
      <c r="AU31" s="104">
        <v>0.0055</v>
      </c>
      <c r="AV31" s="105">
        <v>456963.0</v>
      </c>
      <c r="AW31" s="106">
        <f t="shared" si="10"/>
        <v>0.5409766781</v>
      </c>
      <c r="AX31" s="90" t="s">
        <v>110</v>
      </c>
      <c r="AY31" s="107">
        <v>0.0</v>
      </c>
      <c r="AZ31" s="108">
        <f t="shared" si="11"/>
        <v>0</v>
      </c>
      <c r="BA31" s="109">
        <f t="shared" si="12"/>
        <v>0.5409766781</v>
      </c>
      <c r="BB31" s="110">
        <f t="shared" ref="BB31:BF31" si="87">+IFERROR( $AZ31 * CB31, 0 )</f>
        <v>0</v>
      </c>
      <c r="BC31" s="110">
        <f t="shared" si="87"/>
        <v>0</v>
      </c>
      <c r="BD31" s="110">
        <f t="shared" si="87"/>
        <v>0</v>
      </c>
      <c r="BE31" s="110">
        <f t="shared" si="87"/>
        <v>0</v>
      </c>
      <c r="BF31" s="111">
        <f t="shared" si="87"/>
        <v>0</v>
      </c>
      <c r="BG31" s="112">
        <v>80.6</v>
      </c>
      <c r="BH31" s="113"/>
      <c r="BI31" s="114" t="s">
        <v>27</v>
      </c>
      <c r="BJ31" s="115">
        <v>10.0</v>
      </c>
      <c r="BK31" s="116" t="s">
        <v>111</v>
      </c>
      <c r="BL31" s="117">
        <v>0.04</v>
      </c>
      <c r="BM31" s="118">
        <v>25.38</v>
      </c>
      <c r="BN31" s="119"/>
      <c r="BO31" s="120">
        <v>21438.486</v>
      </c>
      <c r="BP31" s="28">
        <v>0.04</v>
      </c>
      <c r="BQ31" s="43">
        <f t="shared" si="14"/>
        <v>0</v>
      </c>
      <c r="BR31" s="121">
        <v>45879.0</v>
      </c>
      <c r="BS31" s="122">
        <v>112.0</v>
      </c>
      <c r="BT31" s="123">
        <f t="shared" ref="BT31:BT32" si="92">BR31</f>
        <v>45879</v>
      </c>
      <c r="BU31" s="123">
        <f t="shared" ref="BU31:BU32" si="93">EDATE(BT31,1)</f>
        <v>45910</v>
      </c>
      <c r="BV31" s="123">
        <v>0.0</v>
      </c>
      <c r="BW31" s="123">
        <v>0.0</v>
      </c>
      <c r="BX31" s="123">
        <v>46037.0</v>
      </c>
      <c r="BY31" s="123">
        <v>46218.0</v>
      </c>
      <c r="BZ31" s="124">
        <v>46037.0</v>
      </c>
      <c r="CA31" s="45">
        <v>49856.0</v>
      </c>
      <c r="CB31" s="125">
        <v>0.7</v>
      </c>
      <c r="CC31" s="125">
        <v>0.2</v>
      </c>
      <c r="CD31" s="125" t="s">
        <v>112</v>
      </c>
      <c r="CE31" s="125" t="s">
        <v>112</v>
      </c>
      <c r="CF31" s="125">
        <v>0.1</v>
      </c>
      <c r="CG31" s="150">
        <f t="shared" ref="CG31:CK31" si="88">+IFERROR( $AV31 * CB31, 0 )</f>
        <v>319874.1</v>
      </c>
      <c r="CH31" s="150">
        <f t="shared" si="88"/>
        <v>91392.6</v>
      </c>
      <c r="CI31" s="150">
        <f t="shared" si="88"/>
        <v>0</v>
      </c>
      <c r="CJ31" s="150">
        <f t="shared" si="88"/>
        <v>0</v>
      </c>
      <c r="CK31" s="110">
        <f t="shared" si="88"/>
        <v>45696.3</v>
      </c>
      <c r="CL31" s="126">
        <f t="shared" si="16"/>
        <v>456963</v>
      </c>
      <c r="CM31" s="127">
        <v>0.0</v>
      </c>
      <c r="CN31" s="128">
        <v>30.0</v>
      </c>
      <c r="CO31" s="129">
        <f t="shared" si="17"/>
        <v>20</v>
      </c>
      <c r="CP31" s="130">
        <v>119.30768936441856</v>
      </c>
      <c r="CQ31" s="131">
        <v>0.0</v>
      </c>
      <c r="CR31" s="132">
        <f t="shared" si="18"/>
        <v>119.3076894</v>
      </c>
      <c r="CS31" s="45">
        <v>57131.0</v>
      </c>
      <c r="CU31" s="8" t="s">
        <v>3</v>
      </c>
    </row>
    <row r="32" ht="13.5" customHeight="1">
      <c r="B32" s="134">
        <v>1.0</v>
      </c>
      <c r="C32" s="88">
        <f t="shared" si="5"/>
        <v>25</v>
      </c>
      <c r="D32" s="87"/>
      <c r="E32" s="89" t="s">
        <v>139</v>
      </c>
      <c r="F32" s="148">
        <v>2.0</v>
      </c>
      <c r="G32" s="90" t="s">
        <v>106</v>
      </c>
      <c r="H32" s="92" t="s">
        <v>113</v>
      </c>
      <c r="I32" s="92" t="s">
        <v>155</v>
      </c>
      <c r="J32" s="93"/>
      <c r="K32" s="43">
        <f t="shared" si="6"/>
        <v>0</v>
      </c>
      <c r="L32" s="92">
        <v>1.0</v>
      </c>
      <c r="M32" s="92" t="s">
        <v>157</v>
      </c>
      <c r="N32" s="94" t="str">
        <f t="shared" si="7"/>
        <v>Legrand | Apodaca</v>
      </c>
      <c r="O32" s="94"/>
      <c r="P32" s="95"/>
      <c r="Q32" s="95"/>
      <c r="R32" s="154">
        <f t="shared" si="71"/>
        <v>0</v>
      </c>
      <c r="S32" s="95">
        <v>0.8475</v>
      </c>
      <c r="T32" s="96">
        <f t="shared" si="8"/>
        <v>1439.48236</v>
      </c>
      <c r="U32" s="97">
        <f t="shared" si="89"/>
        <v>1219.9613</v>
      </c>
      <c r="V32" s="98" t="s">
        <v>109</v>
      </c>
      <c r="W32" s="99">
        <v>67498.5</v>
      </c>
      <c r="X32" s="100">
        <v>76575.2</v>
      </c>
      <c r="Y32" s="100">
        <v>104529.8</v>
      </c>
      <c r="Z32" s="100">
        <v>110627.8</v>
      </c>
      <c r="AA32" s="100">
        <v>125179.3</v>
      </c>
      <c r="AB32" s="100">
        <v>133713.8</v>
      </c>
      <c r="AC32" s="100">
        <v>132646.1</v>
      </c>
      <c r="AD32" s="100">
        <v>128609.4</v>
      </c>
      <c r="AE32" s="100">
        <v>104276.7</v>
      </c>
      <c r="AF32" s="100">
        <v>95307.3</v>
      </c>
      <c r="AG32" s="100">
        <v>78266.8</v>
      </c>
      <c r="AH32" s="101">
        <v>62730.6</v>
      </c>
      <c r="AI32" s="102">
        <f t="shared" ref="AI32:AT32" si="90">+ W32 * ( 1 + $AJ$3 )</f>
        <v>67498.5</v>
      </c>
      <c r="AJ32" s="102">
        <f t="shared" si="90"/>
        <v>76575.2</v>
      </c>
      <c r="AK32" s="102">
        <f t="shared" si="90"/>
        <v>104529.8</v>
      </c>
      <c r="AL32" s="102">
        <f t="shared" si="90"/>
        <v>110627.8</v>
      </c>
      <c r="AM32" s="102">
        <f t="shared" si="90"/>
        <v>125179.3</v>
      </c>
      <c r="AN32" s="102">
        <f t="shared" si="90"/>
        <v>133713.8</v>
      </c>
      <c r="AO32" s="102">
        <f t="shared" si="90"/>
        <v>132646.1</v>
      </c>
      <c r="AP32" s="102">
        <f t="shared" si="90"/>
        <v>128609.4</v>
      </c>
      <c r="AQ32" s="102">
        <f t="shared" si="90"/>
        <v>104276.7</v>
      </c>
      <c r="AR32" s="102">
        <f t="shared" si="90"/>
        <v>95307.3</v>
      </c>
      <c r="AS32" s="102">
        <f t="shared" si="90"/>
        <v>78266.8</v>
      </c>
      <c r="AT32" s="102">
        <f t="shared" si="90"/>
        <v>62730.6</v>
      </c>
      <c r="AU32" s="104">
        <v>0.0055</v>
      </c>
      <c r="AV32" s="105">
        <v>521430.09</v>
      </c>
      <c r="AW32" s="106">
        <f t="shared" si="10"/>
        <v>0.6152567434</v>
      </c>
      <c r="AX32" s="90" t="s">
        <v>110</v>
      </c>
      <c r="AY32" s="107">
        <v>0.0</v>
      </c>
      <c r="AZ32" s="108">
        <f t="shared" si="11"/>
        <v>0</v>
      </c>
      <c r="BA32" s="109">
        <f t="shared" si="12"/>
        <v>0.6152567434</v>
      </c>
      <c r="BB32" s="110">
        <f t="shared" ref="BB32:BF32" si="91">+IFERROR( $AZ32 * CB32, 0 )</f>
        <v>0</v>
      </c>
      <c r="BC32" s="110">
        <f t="shared" si="91"/>
        <v>0</v>
      </c>
      <c r="BD32" s="110">
        <f t="shared" si="91"/>
        <v>0</v>
      </c>
      <c r="BE32" s="110">
        <f t="shared" si="91"/>
        <v>0</v>
      </c>
      <c r="BF32" s="111">
        <f t="shared" si="91"/>
        <v>0</v>
      </c>
      <c r="BG32" s="112">
        <v>99.4</v>
      </c>
      <c r="BH32" s="113"/>
      <c r="BI32" s="114" t="s">
        <v>27</v>
      </c>
      <c r="BJ32" s="115">
        <v>10.0</v>
      </c>
      <c r="BK32" s="116" t="s">
        <v>111</v>
      </c>
      <c r="BL32" s="117">
        <v>0.0</v>
      </c>
      <c r="BM32" s="118">
        <v>21.85</v>
      </c>
      <c r="BN32" s="119"/>
      <c r="BO32" s="120">
        <v>18517.875000000004</v>
      </c>
      <c r="BP32" s="28">
        <v>0.04</v>
      </c>
      <c r="BQ32" s="43">
        <f t="shared" si="14"/>
        <v>0</v>
      </c>
      <c r="BR32" s="121">
        <v>45879.0</v>
      </c>
      <c r="BS32" s="122">
        <v>224.0</v>
      </c>
      <c r="BT32" s="123">
        <f t="shared" si="92"/>
        <v>45879</v>
      </c>
      <c r="BU32" s="123">
        <f t="shared" si="93"/>
        <v>45910</v>
      </c>
      <c r="BV32" s="123">
        <v>0.0</v>
      </c>
      <c r="BW32" s="123">
        <v>0.0</v>
      </c>
      <c r="BX32" s="123">
        <v>46006.0</v>
      </c>
      <c r="BY32" s="123">
        <v>46094.0</v>
      </c>
      <c r="BZ32" s="124">
        <v>46006.0</v>
      </c>
      <c r="CA32" s="45">
        <v>49734.0</v>
      </c>
      <c r="CB32" s="125">
        <v>0.7</v>
      </c>
      <c r="CC32" s="125">
        <v>0.2</v>
      </c>
      <c r="CD32" s="125" t="s">
        <v>112</v>
      </c>
      <c r="CE32" s="125" t="s">
        <v>112</v>
      </c>
      <c r="CF32" s="125">
        <v>0.1</v>
      </c>
      <c r="CG32" s="150">
        <f t="shared" ref="CG32:CK32" si="94">+IFERROR( $AV32 * CB32, 0 )</f>
        <v>365001.063</v>
      </c>
      <c r="CH32" s="150">
        <f t="shared" si="94"/>
        <v>104286.018</v>
      </c>
      <c r="CI32" s="150">
        <f t="shared" si="94"/>
        <v>0</v>
      </c>
      <c r="CJ32" s="150">
        <f t="shared" si="94"/>
        <v>0</v>
      </c>
      <c r="CK32" s="110">
        <f t="shared" si="94"/>
        <v>52143.009</v>
      </c>
      <c r="CL32" s="126">
        <f t="shared" si="16"/>
        <v>521430.09</v>
      </c>
      <c r="CM32" s="127">
        <v>0.0</v>
      </c>
      <c r="CN32" s="128">
        <v>30.0</v>
      </c>
      <c r="CO32" s="129">
        <f t="shared" si="17"/>
        <v>20</v>
      </c>
      <c r="CP32" s="130">
        <v>99.4</v>
      </c>
      <c r="CQ32" s="131">
        <v>0.0</v>
      </c>
      <c r="CR32" s="132">
        <f t="shared" si="18"/>
        <v>99.4</v>
      </c>
      <c r="CS32" s="45">
        <v>57010.0</v>
      </c>
      <c r="CU32" s="8" t="s">
        <v>3</v>
      </c>
    </row>
    <row r="33" ht="13.5" customHeight="1">
      <c r="B33" s="134">
        <v>1.0</v>
      </c>
      <c r="C33" s="88">
        <f t="shared" si="5"/>
        <v>26</v>
      </c>
      <c r="D33" s="87"/>
      <c r="E33" s="89" t="s">
        <v>152</v>
      </c>
      <c r="F33" s="89">
        <v>2.0</v>
      </c>
      <c r="G33" s="90" t="s">
        <v>106</v>
      </c>
      <c r="H33" s="92" t="s">
        <v>158</v>
      </c>
      <c r="I33" s="92" t="s">
        <v>158</v>
      </c>
      <c r="J33" s="93"/>
      <c r="K33" s="43">
        <f t="shared" si="6"/>
        <v>1</v>
      </c>
      <c r="L33" s="92">
        <v>1.0</v>
      </c>
      <c r="M33" s="92" t="s">
        <v>159</v>
      </c>
      <c r="N33" s="94" t="str">
        <f t="shared" si="7"/>
        <v>Ediplast | Ediplast SFV</v>
      </c>
      <c r="O33" s="94"/>
      <c r="P33" s="95"/>
      <c r="Q33" s="95"/>
      <c r="R33" s="151">
        <f t="shared" si="71"/>
        <v>0</v>
      </c>
      <c r="S33" s="95">
        <v>0.844675</v>
      </c>
      <c r="T33" s="96">
        <f t="shared" si="8"/>
        <v>1434.230467</v>
      </c>
      <c r="U33" s="97">
        <v>1211.45862</v>
      </c>
      <c r="V33" s="98" t="s">
        <v>109</v>
      </c>
      <c r="W33" s="99">
        <v>92198.3</v>
      </c>
      <c r="X33" s="100">
        <v>96193.6</v>
      </c>
      <c r="Y33" s="100">
        <v>118388.24</v>
      </c>
      <c r="Z33" s="100">
        <v>115198.37</v>
      </c>
      <c r="AA33" s="100">
        <v>115594.84</v>
      </c>
      <c r="AB33" s="100">
        <v>101824.03</v>
      </c>
      <c r="AC33" s="100">
        <v>105227.88</v>
      </c>
      <c r="AD33" s="100">
        <v>102435.03</v>
      </c>
      <c r="AE33" s="100">
        <v>91141.86</v>
      </c>
      <c r="AF33" s="100">
        <v>94694.02</v>
      </c>
      <c r="AG33" s="100">
        <v>91591.91</v>
      </c>
      <c r="AH33" s="101">
        <v>86970.54</v>
      </c>
      <c r="AI33" s="102">
        <f t="shared" ref="AI33:AT33" si="95">+ W33 * ( 1 + $AJ$3 )</f>
        <v>92198.3</v>
      </c>
      <c r="AJ33" s="102">
        <f t="shared" si="95"/>
        <v>96193.6</v>
      </c>
      <c r="AK33" s="102">
        <f t="shared" si="95"/>
        <v>118388.24</v>
      </c>
      <c r="AL33" s="102">
        <f t="shared" si="95"/>
        <v>115198.37</v>
      </c>
      <c r="AM33" s="102">
        <f t="shared" si="95"/>
        <v>115594.84</v>
      </c>
      <c r="AN33" s="102">
        <f t="shared" si="95"/>
        <v>101824.03</v>
      </c>
      <c r="AO33" s="102">
        <f t="shared" si="95"/>
        <v>105227.88</v>
      </c>
      <c r="AP33" s="102">
        <f t="shared" si="95"/>
        <v>102435.03</v>
      </c>
      <c r="AQ33" s="102">
        <f t="shared" si="95"/>
        <v>91141.86</v>
      </c>
      <c r="AR33" s="102">
        <f t="shared" si="95"/>
        <v>94694.02</v>
      </c>
      <c r="AS33" s="102">
        <f t="shared" si="95"/>
        <v>91591.91</v>
      </c>
      <c r="AT33" s="102">
        <f t="shared" si="95"/>
        <v>86970.54</v>
      </c>
      <c r="AU33" s="104">
        <v>0.0055</v>
      </c>
      <c r="AV33" s="105">
        <v>572286.69</v>
      </c>
      <c r="AW33" s="106">
        <f t="shared" si="10"/>
        <v>0.6775229408</v>
      </c>
      <c r="AX33" s="90" t="s">
        <v>110</v>
      </c>
      <c r="AY33" s="107">
        <v>0.0</v>
      </c>
      <c r="AZ33" s="108">
        <f t="shared" si="11"/>
        <v>0</v>
      </c>
      <c r="BA33" s="109">
        <f t="shared" si="12"/>
        <v>0.6775229408</v>
      </c>
      <c r="BB33" s="110">
        <f t="shared" ref="BB33:BF33" si="96">+IFERROR( $AZ33 * CB33, 0 )</f>
        <v>0</v>
      </c>
      <c r="BC33" s="110">
        <f t="shared" si="96"/>
        <v>0</v>
      </c>
      <c r="BD33" s="110">
        <f t="shared" si="96"/>
        <v>0</v>
      </c>
      <c r="BE33" s="110">
        <f t="shared" si="96"/>
        <v>0</v>
      </c>
      <c r="BF33" s="111">
        <f t="shared" si="96"/>
        <v>0</v>
      </c>
      <c r="BG33" s="112">
        <v>85.25</v>
      </c>
      <c r="BH33" s="113"/>
      <c r="BI33" s="114" t="s">
        <v>27</v>
      </c>
      <c r="BJ33" s="115">
        <v>10.0</v>
      </c>
      <c r="BK33" s="116" t="s">
        <v>111</v>
      </c>
      <c r="BL33" s="117">
        <v>0.05</v>
      </c>
      <c r="BM33" s="118">
        <v>26.457110723059166</v>
      </c>
      <c r="BN33" s="119"/>
      <c r="BO33" s="120">
        <v>22347.66</v>
      </c>
      <c r="BP33" s="28">
        <v>0.04</v>
      </c>
      <c r="BQ33" s="43">
        <f t="shared" si="14"/>
        <v>0</v>
      </c>
      <c r="BR33" s="121">
        <v>45962.0</v>
      </c>
      <c r="BS33" s="122">
        <v>224.0</v>
      </c>
      <c r="BT33" s="123">
        <v>46011.77777777778</v>
      </c>
      <c r="BU33" s="123">
        <v>46111.444444444445</v>
      </c>
      <c r="BV33" s="123">
        <v>0.0</v>
      </c>
      <c r="BW33" s="123">
        <v>0.0</v>
      </c>
      <c r="BX33" s="123">
        <v>46249.0</v>
      </c>
      <c r="BY33" s="123">
        <v>46260.0</v>
      </c>
      <c r="BZ33" s="124">
        <v>46249.0</v>
      </c>
      <c r="CA33" s="45">
        <v>49887.0</v>
      </c>
      <c r="CB33" s="125">
        <v>0.7</v>
      </c>
      <c r="CC33" s="125">
        <v>0.2</v>
      </c>
      <c r="CD33" s="125" t="s">
        <v>112</v>
      </c>
      <c r="CE33" s="125" t="s">
        <v>112</v>
      </c>
      <c r="CF33" s="125">
        <v>0.1</v>
      </c>
      <c r="CG33" s="110">
        <f t="shared" ref="CG33:CK33" si="97">+IFERROR( $AV33 * CB33, 0 )</f>
        <v>400600.683</v>
      </c>
      <c r="CH33" s="110">
        <f t="shared" si="97"/>
        <v>114457.338</v>
      </c>
      <c r="CI33" s="110">
        <f t="shared" si="97"/>
        <v>0</v>
      </c>
      <c r="CJ33" s="110">
        <f t="shared" si="97"/>
        <v>0</v>
      </c>
      <c r="CK33" s="110">
        <f t="shared" si="97"/>
        <v>57228.669</v>
      </c>
      <c r="CL33" s="126">
        <f t="shared" si="16"/>
        <v>572286.69</v>
      </c>
      <c r="CM33" s="127">
        <v>0.0</v>
      </c>
      <c r="CN33" s="128">
        <v>30.0</v>
      </c>
      <c r="CO33" s="129">
        <f t="shared" si="17"/>
        <v>20</v>
      </c>
      <c r="CP33" s="130">
        <v>138.8632669327769</v>
      </c>
      <c r="CQ33" s="131">
        <v>0.0</v>
      </c>
      <c r="CR33" s="132">
        <f t="shared" si="18"/>
        <v>138.8632669</v>
      </c>
      <c r="CS33" s="45">
        <v>57161.0</v>
      </c>
      <c r="CU33" s="8" t="s">
        <v>3</v>
      </c>
      <c r="CZ33" s="31"/>
      <c r="DA33" s="31"/>
      <c r="DC33" s="153"/>
    </row>
    <row r="34" ht="13.5" customHeight="1">
      <c r="B34" s="134">
        <v>1.0</v>
      </c>
      <c r="C34" s="88">
        <f t="shared" si="5"/>
        <v>27</v>
      </c>
      <c r="D34" s="87"/>
      <c r="E34" s="89" t="s">
        <v>152</v>
      </c>
      <c r="F34" s="89">
        <v>2.0</v>
      </c>
      <c r="G34" s="90" t="s">
        <v>144</v>
      </c>
      <c r="H34" s="92" t="s">
        <v>158</v>
      </c>
      <c r="I34" s="92" t="s">
        <v>158</v>
      </c>
      <c r="J34" s="93"/>
      <c r="K34" s="43">
        <f t="shared" si="6"/>
        <v>0</v>
      </c>
      <c r="L34" s="92">
        <v>1.0</v>
      </c>
      <c r="M34" s="92" t="s">
        <v>160</v>
      </c>
      <c r="N34" s="94" t="str">
        <f t="shared" si="7"/>
        <v>Ediplast | Ediplast BESS</v>
      </c>
      <c r="O34" s="94"/>
      <c r="P34" s="95">
        <v>4.373</v>
      </c>
      <c r="Q34" s="95">
        <v>9.19</v>
      </c>
      <c r="R34" s="151">
        <f t="shared" si="71"/>
        <v>2.101532129</v>
      </c>
      <c r="S34" s="95">
        <v>0.0</v>
      </c>
      <c r="T34" s="96">
        <f t="shared" si="8"/>
        <v>0</v>
      </c>
      <c r="U34" s="97"/>
      <c r="V34" s="98" t="s">
        <v>109</v>
      </c>
      <c r="W34" s="99">
        <v>0.0</v>
      </c>
      <c r="X34" s="100">
        <v>0.0</v>
      </c>
      <c r="Y34" s="100">
        <v>0.0</v>
      </c>
      <c r="Z34" s="100">
        <v>0.0</v>
      </c>
      <c r="AA34" s="100">
        <v>0.0</v>
      </c>
      <c r="AB34" s="100">
        <v>0.0</v>
      </c>
      <c r="AC34" s="100">
        <v>0.0</v>
      </c>
      <c r="AD34" s="100">
        <v>0.0</v>
      </c>
      <c r="AE34" s="100">
        <v>0.0</v>
      </c>
      <c r="AF34" s="100">
        <v>0.0</v>
      </c>
      <c r="AG34" s="100">
        <v>0.0</v>
      </c>
      <c r="AH34" s="101">
        <v>0.0</v>
      </c>
      <c r="AI34" s="102">
        <f t="shared" ref="AI34:AT34" si="98">+ W34 * ( 1 + $AJ$3 )</f>
        <v>0</v>
      </c>
      <c r="AJ34" s="102">
        <f t="shared" si="98"/>
        <v>0</v>
      </c>
      <c r="AK34" s="102">
        <f t="shared" si="98"/>
        <v>0</v>
      </c>
      <c r="AL34" s="102">
        <f t="shared" si="98"/>
        <v>0</v>
      </c>
      <c r="AM34" s="102">
        <f t="shared" si="98"/>
        <v>0</v>
      </c>
      <c r="AN34" s="102">
        <f t="shared" si="98"/>
        <v>0</v>
      </c>
      <c r="AO34" s="102">
        <f t="shared" si="98"/>
        <v>0</v>
      </c>
      <c r="AP34" s="102">
        <f t="shared" si="98"/>
        <v>0</v>
      </c>
      <c r="AQ34" s="102">
        <f t="shared" si="98"/>
        <v>0</v>
      </c>
      <c r="AR34" s="102">
        <f t="shared" si="98"/>
        <v>0</v>
      </c>
      <c r="AS34" s="102">
        <f t="shared" si="98"/>
        <v>0</v>
      </c>
      <c r="AT34" s="102">
        <f t="shared" si="98"/>
        <v>0</v>
      </c>
      <c r="AU34" s="104">
        <v>0.0</v>
      </c>
      <c r="AV34" s="105">
        <v>3388520.73</v>
      </c>
      <c r="AW34" s="106" t="str">
        <f t="shared" si="10"/>
        <v>n.a.</v>
      </c>
      <c r="AX34" s="90" t="s">
        <v>146</v>
      </c>
      <c r="AY34" s="107">
        <v>0.0</v>
      </c>
      <c r="AZ34" s="108">
        <f t="shared" si="11"/>
        <v>0</v>
      </c>
      <c r="BA34" s="109" t="str">
        <f t="shared" si="12"/>
        <v>n.a.</v>
      </c>
      <c r="BB34" s="110">
        <f t="shared" ref="BB34:BF34" si="99">+IFERROR( $AZ34 * CB34, 0 )</f>
        <v>0</v>
      </c>
      <c r="BC34" s="110">
        <f t="shared" si="99"/>
        <v>0</v>
      </c>
      <c r="BD34" s="110">
        <f t="shared" si="99"/>
        <v>0</v>
      </c>
      <c r="BE34" s="110">
        <f t="shared" si="99"/>
        <v>0</v>
      </c>
      <c r="BF34" s="111">
        <f t="shared" si="99"/>
        <v>0</v>
      </c>
      <c r="BG34" s="112"/>
      <c r="BH34" s="113">
        <v>720940.0</v>
      </c>
      <c r="BI34" s="114" t="s">
        <v>27</v>
      </c>
      <c r="BJ34" s="115">
        <v>10.0</v>
      </c>
      <c r="BK34" s="116" t="s">
        <v>111</v>
      </c>
      <c r="BL34" s="117">
        <v>0.05</v>
      </c>
      <c r="BM34" s="118"/>
      <c r="BN34" s="119">
        <v>122533.33</v>
      </c>
      <c r="BO34" s="120">
        <v>122533.33</v>
      </c>
      <c r="BP34" s="28">
        <v>0.0</v>
      </c>
      <c r="BQ34" s="43">
        <f t="shared" si="14"/>
        <v>0</v>
      </c>
      <c r="BR34" s="121">
        <v>45962.0</v>
      </c>
      <c r="BS34" s="122">
        <v>280.0</v>
      </c>
      <c r="BT34" s="123">
        <v>0.0</v>
      </c>
      <c r="BU34" s="123">
        <v>0.0</v>
      </c>
      <c r="BV34" s="123">
        <v>45989.0</v>
      </c>
      <c r="BW34" s="123">
        <v>46214.0</v>
      </c>
      <c r="BX34" s="123">
        <v>0.0</v>
      </c>
      <c r="BY34" s="123">
        <v>46234.0</v>
      </c>
      <c r="BZ34" s="124">
        <v>46233.0</v>
      </c>
      <c r="CA34" s="45">
        <v>49856.0</v>
      </c>
      <c r="CB34" s="125" t="s">
        <v>112</v>
      </c>
      <c r="CC34" s="125" t="s">
        <v>112</v>
      </c>
      <c r="CD34" s="125">
        <v>0.7</v>
      </c>
      <c r="CE34" s="125">
        <v>0.2</v>
      </c>
      <c r="CF34" s="125">
        <v>0.1</v>
      </c>
      <c r="CG34" s="110">
        <f t="shared" ref="CG34:CK34" si="100">+IFERROR( $AV34 * CB34, 0 )</f>
        <v>0</v>
      </c>
      <c r="CH34" s="110">
        <f t="shared" si="100"/>
        <v>0</v>
      </c>
      <c r="CI34" s="110">
        <f t="shared" si="100"/>
        <v>2371964.511</v>
      </c>
      <c r="CJ34" s="110">
        <f t="shared" si="100"/>
        <v>677704.146</v>
      </c>
      <c r="CK34" s="110">
        <f t="shared" si="100"/>
        <v>338852.073</v>
      </c>
      <c r="CL34" s="126">
        <f t="shared" si="16"/>
        <v>3388520.73</v>
      </c>
      <c r="CM34" s="127">
        <v>0.0</v>
      </c>
      <c r="CN34" s="128">
        <v>16.0</v>
      </c>
      <c r="CO34" s="129">
        <f t="shared" si="17"/>
        <v>6</v>
      </c>
      <c r="CP34" s="130">
        <v>0.0</v>
      </c>
      <c r="CQ34" s="131">
        <v>0.0</v>
      </c>
      <c r="CR34" s="132">
        <f t="shared" si="18"/>
        <v>0</v>
      </c>
      <c r="CS34" s="45">
        <v>52017.0</v>
      </c>
      <c r="CU34" s="8" t="s">
        <v>3</v>
      </c>
      <c r="CZ34" s="31"/>
      <c r="DA34" s="31"/>
    </row>
    <row r="35" ht="13.5" customHeight="1" outlineLevel="1">
      <c r="B35" s="134">
        <v>0.0</v>
      </c>
      <c r="C35" s="88">
        <f t="shared" si="5"/>
        <v>28</v>
      </c>
      <c r="D35" s="87"/>
      <c r="E35" s="89" t="s">
        <v>161</v>
      </c>
      <c r="F35" s="89">
        <v>2.0</v>
      </c>
      <c r="G35" s="90" t="s">
        <v>106</v>
      </c>
      <c r="H35" s="92" t="s">
        <v>154</v>
      </c>
      <c r="I35" s="92" t="s">
        <v>162</v>
      </c>
      <c r="J35" s="93"/>
      <c r="K35" s="43">
        <f t="shared" si="6"/>
        <v>0</v>
      </c>
      <c r="L35" s="92">
        <v>1.0</v>
      </c>
      <c r="M35" s="92" t="s">
        <v>163</v>
      </c>
      <c r="N35" s="94" t="str">
        <f t="shared" si="7"/>
        <v>Antex | Antex Tlaxcala 2</v>
      </c>
      <c r="O35" s="94"/>
      <c r="P35" s="95"/>
      <c r="Q35" s="95"/>
      <c r="R35" s="151">
        <f t="shared" si="71"/>
        <v>0</v>
      </c>
      <c r="S35" s="95">
        <v>0.845185</v>
      </c>
      <c r="T35" s="96">
        <f t="shared" si="8"/>
        <v>1542.05219</v>
      </c>
      <c r="U35" s="97">
        <v>1303.31938</v>
      </c>
      <c r="V35" s="98" t="s">
        <v>109</v>
      </c>
      <c r="W35" s="99">
        <v>99783.22</v>
      </c>
      <c r="X35" s="100">
        <v>101523.62</v>
      </c>
      <c r="Y35" s="100">
        <v>126706.75</v>
      </c>
      <c r="Z35" s="100">
        <v>122817.21</v>
      </c>
      <c r="AA35" s="100">
        <v>125889.29</v>
      </c>
      <c r="AB35" s="100">
        <v>111544.14</v>
      </c>
      <c r="AC35" s="100">
        <v>115875.37</v>
      </c>
      <c r="AD35" s="100">
        <v>113831.71</v>
      </c>
      <c r="AE35" s="100">
        <v>97897.78</v>
      </c>
      <c r="AF35" s="100">
        <v>100956.67</v>
      </c>
      <c r="AG35" s="100">
        <v>94733.41</v>
      </c>
      <c r="AH35" s="101">
        <v>91760.21</v>
      </c>
      <c r="AI35" s="102">
        <f t="shared" ref="AI35:AT35" si="101">+ W35 * ( 1 + $AJ$3 )</f>
        <v>99783.22</v>
      </c>
      <c r="AJ35" s="102">
        <f t="shared" si="101"/>
        <v>101523.62</v>
      </c>
      <c r="AK35" s="102">
        <f t="shared" si="101"/>
        <v>126706.75</v>
      </c>
      <c r="AL35" s="102">
        <f t="shared" si="101"/>
        <v>122817.21</v>
      </c>
      <c r="AM35" s="102">
        <f t="shared" si="101"/>
        <v>125889.29</v>
      </c>
      <c r="AN35" s="102">
        <f t="shared" si="101"/>
        <v>111544.14</v>
      </c>
      <c r="AO35" s="102">
        <f t="shared" si="101"/>
        <v>115875.37</v>
      </c>
      <c r="AP35" s="102">
        <f t="shared" si="101"/>
        <v>113831.71</v>
      </c>
      <c r="AQ35" s="102">
        <f t="shared" si="101"/>
        <v>97897.78</v>
      </c>
      <c r="AR35" s="102">
        <f t="shared" si="101"/>
        <v>100956.67</v>
      </c>
      <c r="AS35" s="102">
        <f t="shared" si="101"/>
        <v>94733.41</v>
      </c>
      <c r="AT35" s="102">
        <f t="shared" si="101"/>
        <v>91760.21</v>
      </c>
      <c r="AU35" s="104">
        <v>0.0055</v>
      </c>
      <c r="AV35" s="105">
        <v>461799.77023411373</v>
      </c>
      <c r="AW35" s="106">
        <f t="shared" si="10"/>
        <v>0.5463889802</v>
      </c>
      <c r="AX35" s="90" t="s">
        <v>110</v>
      </c>
      <c r="AY35" s="107">
        <v>0.0</v>
      </c>
      <c r="AZ35" s="108">
        <f t="shared" si="11"/>
        <v>0</v>
      </c>
      <c r="BA35" s="109">
        <f t="shared" si="12"/>
        <v>0.5463889802</v>
      </c>
      <c r="BB35" s="110">
        <f t="shared" ref="BB35:BF35" si="102">+IFERROR( $AZ35 * CB35, 0 )</f>
        <v>0</v>
      </c>
      <c r="BC35" s="110">
        <f t="shared" si="102"/>
        <v>0</v>
      </c>
      <c r="BD35" s="110">
        <f t="shared" si="102"/>
        <v>0</v>
      </c>
      <c r="BE35" s="110">
        <f t="shared" si="102"/>
        <v>0</v>
      </c>
      <c r="BF35" s="111">
        <f t="shared" si="102"/>
        <v>0</v>
      </c>
      <c r="BG35" s="112">
        <f>80.6</f>
        <v>80.6</v>
      </c>
      <c r="BH35" s="113"/>
      <c r="BI35" s="114" t="s">
        <v>27</v>
      </c>
      <c r="BJ35" s="115">
        <v>10.0</v>
      </c>
      <c r="BK35" s="116" t="s">
        <v>111</v>
      </c>
      <c r="BL35" s="117">
        <v>0.04</v>
      </c>
      <c r="BM35" s="118">
        <f>26.9525251867934</f>
        <v>26.95252519</v>
      </c>
      <c r="BN35" s="119"/>
      <c r="BO35" s="120">
        <v>0.0</v>
      </c>
      <c r="BP35" s="28">
        <v>0.04</v>
      </c>
      <c r="BQ35" s="43">
        <f t="shared" si="14"/>
        <v>0</v>
      </c>
      <c r="BR35" s="121">
        <v>46054.0</v>
      </c>
      <c r="BS35" s="122">
        <v>182.0</v>
      </c>
      <c r="BT35" s="20">
        <v>46094.444444444445</v>
      </c>
      <c r="BU35" s="20">
        <v>46125.11111111111</v>
      </c>
      <c r="BV35" s="20">
        <v>0.0</v>
      </c>
      <c r="BW35" s="20">
        <v>0.0</v>
      </c>
      <c r="BX35" s="155">
        <f t="shared" ref="BX35:BX44" si="106">IFERROR(EOMONTH(BU35,4)+15,0)</f>
        <v>46280</v>
      </c>
      <c r="BY35" s="156">
        <f t="shared" ref="BY35:BY44" si="107">EOMONTH(BX35,6)</f>
        <v>46477</v>
      </c>
      <c r="BZ35" s="124">
        <v>46280.0</v>
      </c>
      <c r="CA35" s="45">
        <v>50099.0</v>
      </c>
      <c r="CB35" s="125">
        <v>0.7</v>
      </c>
      <c r="CC35" s="125">
        <v>0.2</v>
      </c>
      <c r="CD35" s="125" t="s">
        <v>112</v>
      </c>
      <c r="CE35" s="125" t="s">
        <v>112</v>
      </c>
      <c r="CF35" s="125">
        <v>0.1</v>
      </c>
      <c r="CG35" s="110">
        <f t="shared" ref="CG35:CK35" si="103">+IFERROR( $AV35 * CB35, 0 )</f>
        <v>323259.8392</v>
      </c>
      <c r="CH35" s="110">
        <f t="shared" si="103"/>
        <v>92359.95405</v>
      </c>
      <c r="CI35" s="110">
        <f t="shared" si="103"/>
        <v>0</v>
      </c>
      <c r="CJ35" s="110">
        <f t="shared" si="103"/>
        <v>0</v>
      </c>
      <c r="CK35" s="110">
        <f t="shared" si="103"/>
        <v>46179.97702</v>
      </c>
      <c r="CL35" s="126">
        <f t="shared" si="16"/>
        <v>461799.7702</v>
      </c>
      <c r="CM35" s="127">
        <v>0.0</v>
      </c>
      <c r="CN35" s="128">
        <v>30.0</v>
      </c>
      <c r="CO35" s="129">
        <f t="shared" si="17"/>
        <v>20</v>
      </c>
      <c r="CP35" s="130">
        <v>119.30768936441856</v>
      </c>
      <c r="CQ35" s="131">
        <v>0.0</v>
      </c>
      <c r="CR35" s="132">
        <f t="shared" si="18"/>
        <v>119.3076894</v>
      </c>
      <c r="CS35" s="45">
        <v>57376.0</v>
      </c>
      <c r="CU35" s="8" t="s">
        <v>3</v>
      </c>
    </row>
    <row r="36" ht="13.5" customHeight="1" outlineLevel="1">
      <c r="B36" s="134">
        <v>1.0</v>
      </c>
      <c r="C36" s="88">
        <f t="shared" si="5"/>
        <v>29</v>
      </c>
      <c r="D36" s="87"/>
      <c r="E36" s="89" t="s">
        <v>161</v>
      </c>
      <c r="F36" s="89">
        <v>2.0</v>
      </c>
      <c r="G36" s="90" t="s">
        <v>106</v>
      </c>
      <c r="H36" s="92" t="s">
        <v>164</v>
      </c>
      <c r="I36" s="92" t="s">
        <v>165</v>
      </c>
      <c r="J36" s="93"/>
      <c r="K36" s="43">
        <f t="shared" si="6"/>
        <v>1</v>
      </c>
      <c r="L36" s="92">
        <v>1.0</v>
      </c>
      <c r="M36" s="92" t="s">
        <v>165</v>
      </c>
      <c r="N36" s="94" t="str">
        <f t="shared" si="7"/>
        <v>GG CABLES AND WIRES | CX2</v>
      </c>
      <c r="O36" s="94"/>
      <c r="P36" s="95"/>
      <c r="Q36" s="95"/>
      <c r="R36" s="151">
        <v>0.84458</v>
      </c>
      <c r="S36" s="95">
        <v>0.84458</v>
      </c>
      <c r="T36" s="96">
        <f t="shared" si="8"/>
        <v>1603.376104</v>
      </c>
      <c r="U36" s="97">
        <v>1354.1793900000005</v>
      </c>
      <c r="V36" s="98" t="s">
        <v>109</v>
      </c>
      <c r="W36" s="99">
        <v>95235.87</v>
      </c>
      <c r="X36" s="100">
        <v>104065.24</v>
      </c>
      <c r="Y36" s="100">
        <v>131224.49</v>
      </c>
      <c r="Z36" s="100">
        <v>132326.41</v>
      </c>
      <c r="AA36" s="100">
        <v>133744.11</v>
      </c>
      <c r="AB36" s="100">
        <v>120189.43</v>
      </c>
      <c r="AC36" s="100">
        <v>123415.06</v>
      </c>
      <c r="AD36" s="100">
        <v>121869.56</v>
      </c>
      <c r="AE36" s="100">
        <v>103955.13</v>
      </c>
      <c r="AF36" s="100">
        <v>103629.01</v>
      </c>
      <c r="AG36" s="100">
        <v>95943.77</v>
      </c>
      <c r="AH36" s="101">
        <v>88581.31</v>
      </c>
      <c r="AI36" s="102">
        <f t="shared" ref="AI36:AT36" si="104">+ W36 * ( 1 + $AJ$3 )</f>
        <v>95235.87</v>
      </c>
      <c r="AJ36" s="102">
        <f t="shared" si="104"/>
        <v>104065.24</v>
      </c>
      <c r="AK36" s="102">
        <f t="shared" si="104"/>
        <v>131224.49</v>
      </c>
      <c r="AL36" s="102">
        <f t="shared" si="104"/>
        <v>132326.41</v>
      </c>
      <c r="AM36" s="102">
        <f t="shared" si="104"/>
        <v>133744.11</v>
      </c>
      <c r="AN36" s="102">
        <f t="shared" si="104"/>
        <v>120189.43</v>
      </c>
      <c r="AO36" s="102">
        <f t="shared" si="104"/>
        <v>123415.06</v>
      </c>
      <c r="AP36" s="102">
        <f t="shared" si="104"/>
        <v>121869.56</v>
      </c>
      <c r="AQ36" s="102">
        <f t="shared" si="104"/>
        <v>103955.13</v>
      </c>
      <c r="AR36" s="102">
        <f t="shared" si="104"/>
        <v>103629.01</v>
      </c>
      <c r="AS36" s="102">
        <f t="shared" si="104"/>
        <v>95943.77</v>
      </c>
      <c r="AT36" s="102">
        <f t="shared" si="104"/>
        <v>88581.31</v>
      </c>
      <c r="AU36" s="104">
        <v>0.0055</v>
      </c>
      <c r="AV36" s="105">
        <v>510230.0108108108</v>
      </c>
      <c r="AW36" s="106">
        <f t="shared" si="10"/>
        <v>0.604122772</v>
      </c>
      <c r="AX36" s="90" t="s">
        <v>110</v>
      </c>
      <c r="AY36" s="107">
        <v>0.0</v>
      </c>
      <c r="AZ36" s="108">
        <f t="shared" si="11"/>
        <v>0</v>
      </c>
      <c r="BA36" s="109">
        <f t="shared" si="12"/>
        <v>0.604122772</v>
      </c>
      <c r="BB36" s="110">
        <f t="shared" ref="BB36:BF36" si="105">+IFERROR( $AZ36 * CB36, 0 )</f>
        <v>0</v>
      </c>
      <c r="BC36" s="110">
        <f t="shared" si="105"/>
        <v>0</v>
      </c>
      <c r="BD36" s="110">
        <f t="shared" si="105"/>
        <v>0</v>
      </c>
      <c r="BE36" s="110">
        <f t="shared" si="105"/>
        <v>0</v>
      </c>
      <c r="BF36" s="111">
        <f t="shared" si="105"/>
        <v>0</v>
      </c>
      <c r="BG36" s="112">
        <v>80.0</v>
      </c>
      <c r="BH36" s="113"/>
      <c r="BI36" s="114" t="s">
        <v>27</v>
      </c>
      <c r="BJ36" s="115">
        <v>10.0</v>
      </c>
      <c r="BK36" s="116" t="s">
        <v>111</v>
      </c>
      <c r="BL36" s="117">
        <v>0.04</v>
      </c>
      <c r="BM36" s="118">
        <v>20.937981008311823</v>
      </c>
      <c r="BN36" s="119"/>
      <c r="BO36" s="120">
        <v>17683.8</v>
      </c>
      <c r="BP36" s="28">
        <v>0.04</v>
      </c>
      <c r="BQ36" s="43">
        <f t="shared" si="14"/>
        <v>0</v>
      </c>
      <c r="BR36" s="121">
        <v>46054.0</v>
      </c>
      <c r="BS36" s="122">
        <v>180.0</v>
      </c>
      <c r="BT36" s="20">
        <v>46094.0</v>
      </c>
      <c r="BU36" s="20">
        <v>46124.0</v>
      </c>
      <c r="BV36" s="20">
        <v>0.0</v>
      </c>
      <c r="BW36" s="20">
        <v>0.0</v>
      </c>
      <c r="BX36" s="155">
        <f t="shared" si="106"/>
        <v>46280</v>
      </c>
      <c r="BY36" s="156">
        <f t="shared" si="107"/>
        <v>46477</v>
      </c>
      <c r="BZ36" s="124">
        <v>46280.0</v>
      </c>
      <c r="CA36" s="45">
        <v>50099.0</v>
      </c>
      <c r="CB36" s="125">
        <v>0.7</v>
      </c>
      <c r="CC36" s="125">
        <v>0.2</v>
      </c>
      <c r="CD36" s="125" t="s">
        <v>112</v>
      </c>
      <c r="CE36" s="125" t="s">
        <v>112</v>
      </c>
      <c r="CF36" s="125">
        <v>0.1</v>
      </c>
      <c r="CG36" s="110">
        <f t="shared" ref="CG36:CK36" si="108">+IFERROR( $AV36 * CB36, 0 )</f>
        <v>357161.0076</v>
      </c>
      <c r="CH36" s="110">
        <f t="shared" si="108"/>
        <v>102046.0022</v>
      </c>
      <c r="CI36" s="110">
        <f t="shared" si="108"/>
        <v>0</v>
      </c>
      <c r="CJ36" s="110">
        <f t="shared" si="108"/>
        <v>0</v>
      </c>
      <c r="CK36" s="110">
        <f t="shared" si="108"/>
        <v>51023.00108</v>
      </c>
      <c r="CL36" s="126">
        <f t="shared" si="16"/>
        <v>510230.0108</v>
      </c>
      <c r="CM36" s="127">
        <v>0.0</v>
      </c>
      <c r="CN36" s="128">
        <v>30.0</v>
      </c>
      <c r="CO36" s="129">
        <f t="shared" si="17"/>
        <v>20</v>
      </c>
      <c r="CP36" s="130">
        <v>118.41954279346757</v>
      </c>
      <c r="CQ36" s="131">
        <v>0.0</v>
      </c>
      <c r="CR36" s="132">
        <f t="shared" si="18"/>
        <v>118.4195428</v>
      </c>
      <c r="CS36" s="45">
        <v>57376.0</v>
      </c>
      <c r="CU36" s="8" t="s">
        <v>3</v>
      </c>
    </row>
    <row r="37" ht="13.5" customHeight="1" outlineLevel="1">
      <c r="B37" s="134">
        <v>1.0</v>
      </c>
      <c r="C37" s="88">
        <f t="shared" si="5"/>
        <v>30</v>
      </c>
      <c r="D37" s="87"/>
      <c r="E37" s="89" t="s">
        <v>161</v>
      </c>
      <c r="F37" s="89">
        <v>2.0</v>
      </c>
      <c r="G37" s="90" t="s">
        <v>106</v>
      </c>
      <c r="H37" s="92" t="s">
        <v>164</v>
      </c>
      <c r="I37" s="92" t="s">
        <v>166</v>
      </c>
      <c r="J37" s="93"/>
      <c r="K37" s="43">
        <f t="shared" si="6"/>
        <v>0</v>
      </c>
      <c r="L37" s="92">
        <v>1.0</v>
      </c>
      <c r="M37" s="92" t="s">
        <v>166</v>
      </c>
      <c r="N37" s="94" t="str">
        <f t="shared" si="7"/>
        <v>GG CABLES AND WIRES | CX1</v>
      </c>
      <c r="O37" s="94"/>
      <c r="P37" s="95"/>
      <c r="Q37" s="95"/>
      <c r="R37" s="151">
        <f t="shared" ref="R37:R102" si="112">+ IFERROR(Q37 / P37, 0)</f>
        <v>0</v>
      </c>
      <c r="S37" s="95">
        <v>0.84458</v>
      </c>
      <c r="T37" s="96">
        <f t="shared" si="8"/>
        <v>1590.451751</v>
      </c>
      <c r="U37" s="97">
        <v>1343.26374</v>
      </c>
      <c r="V37" s="98" t="s">
        <v>109</v>
      </c>
      <c r="W37" s="99">
        <v>93852.42</v>
      </c>
      <c r="X37" s="100">
        <v>102874.31</v>
      </c>
      <c r="Y37" s="100">
        <v>130286.47</v>
      </c>
      <c r="Z37" s="100">
        <v>131613.38</v>
      </c>
      <c r="AA37" s="100">
        <v>133246.37</v>
      </c>
      <c r="AB37" s="100">
        <v>119554.09</v>
      </c>
      <c r="AC37" s="100">
        <v>122706.81</v>
      </c>
      <c r="AD37" s="100">
        <v>121349.55</v>
      </c>
      <c r="AE37" s="100">
        <v>103325.5</v>
      </c>
      <c r="AF37" s="100">
        <v>102597.21</v>
      </c>
      <c r="AG37" s="100">
        <v>94655.59</v>
      </c>
      <c r="AH37" s="101">
        <v>87202.04</v>
      </c>
      <c r="AI37" s="102">
        <f t="shared" ref="AI37:AT37" si="109">+ W37 * ( 1 + $AJ$3 )</f>
        <v>93852.42</v>
      </c>
      <c r="AJ37" s="102">
        <f t="shared" si="109"/>
        <v>102874.31</v>
      </c>
      <c r="AK37" s="102">
        <f t="shared" si="109"/>
        <v>130286.47</v>
      </c>
      <c r="AL37" s="102">
        <f t="shared" si="109"/>
        <v>131613.38</v>
      </c>
      <c r="AM37" s="102">
        <f t="shared" si="109"/>
        <v>133246.37</v>
      </c>
      <c r="AN37" s="102">
        <f t="shared" si="109"/>
        <v>119554.09</v>
      </c>
      <c r="AO37" s="102">
        <f t="shared" si="109"/>
        <v>122706.81</v>
      </c>
      <c r="AP37" s="102">
        <f t="shared" si="109"/>
        <v>121349.55</v>
      </c>
      <c r="AQ37" s="102">
        <f t="shared" si="109"/>
        <v>103325.5</v>
      </c>
      <c r="AR37" s="102">
        <f t="shared" si="109"/>
        <v>102597.21</v>
      </c>
      <c r="AS37" s="102">
        <f t="shared" si="109"/>
        <v>94655.59</v>
      </c>
      <c r="AT37" s="102">
        <f t="shared" si="109"/>
        <v>87202.04</v>
      </c>
      <c r="AU37" s="104">
        <v>0.0055</v>
      </c>
      <c r="AV37" s="105">
        <v>510857.60147601477</v>
      </c>
      <c r="AW37" s="106">
        <f t="shared" si="10"/>
        <v>0.6048658522</v>
      </c>
      <c r="AX37" s="90" t="s">
        <v>110</v>
      </c>
      <c r="AY37" s="107">
        <v>0.0</v>
      </c>
      <c r="AZ37" s="108">
        <f t="shared" si="11"/>
        <v>0</v>
      </c>
      <c r="BA37" s="109">
        <f t="shared" si="12"/>
        <v>0.6048658522</v>
      </c>
      <c r="BB37" s="110">
        <f t="shared" ref="BB37:BF37" si="110">+IFERROR( $AZ37 * CB37, 0 )</f>
        <v>0</v>
      </c>
      <c r="BC37" s="110">
        <f t="shared" si="110"/>
        <v>0</v>
      </c>
      <c r="BD37" s="110">
        <f t="shared" si="110"/>
        <v>0</v>
      </c>
      <c r="BE37" s="110">
        <f t="shared" si="110"/>
        <v>0</v>
      </c>
      <c r="BF37" s="111">
        <f t="shared" si="110"/>
        <v>0</v>
      </c>
      <c r="BG37" s="112">
        <v>80.7</v>
      </c>
      <c r="BH37" s="113"/>
      <c r="BI37" s="114" t="s">
        <v>27</v>
      </c>
      <c r="BJ37" s="115">
        <v>10.0</v>
      </c>
      <c r="BK37" s="116" t="s">
        <v>111</v>
      </c>
      <c r="BL37" s="117">
        <v>0.04</v>
      </c>
      <c r="BM37" s="118">
        <v>20.937981008311823</v>
      </c>
      <c r="BN37" s="119"/>
      <c r="BO37" s="120">
        <v>17683.8</v>
      </c>
      <c r="BP37" s="28">
        <v>0.04</v>
      </c>
      <c r="BQ37" s="43">
        <f t="shared" si="14"/>
        <v>0</v>
      </c>
      <c r="BR37" s="121">
        <v>46054.0</v>
      </c>
      <c r="BS37" s="122">
        <v>180.0</v>
      </c>
      <c r="BT37" s="20">
        <v>46094.0</v>
      </c>
      <c r="BU37" s="20">
        <v>46154.0</v>
      </c>
      <c r="BV37" s="20">
        <v>0.0</v>
      </c>
      <c r="BW37" s="20">
        <v>0.0</v>
      </c>
      <c r="BX37" s="155">
        <f t="shared" si="106"/>
        <v>46310</v>
      </c>
      <c r="BY37" s="156">
        <f t="shared" si="107"/>
        <v>46507</v>
      </c>
      <c r="BZ37" s="124">
        <v>46310.0</v>
      </c>
      <c r="CA37" s="45">
        <v>50130.0</v>
      </c>
      <c r="CB37" s="125">
        <v>0.7</v>
      </c>
      <c r="CC37" s="125">
        <v>0.2</v>
      </c>
      <c r="CD37" s="125" t="s">
        <v>112</v>
      </c>
      <c r="CE37" s="125" t="s">
        <v>112</v>
      </c>
      <c r="CF37" s="125">
        <v>0.1</v>
      </c>
      <c r="CG37" s="110">
        <f t="shared" ref="CG37:CK37" si="111">+IFERROR( $AV37 * CB37, 0 )</f>
        <v>357600.321</v>
      </c>
      <c r="CH37" s="110">
        <f t="shared" si="111"/>
        <v>102171.5203</v>
      </c>
      <c r="CI37" s="110">
        <f t="shared" si="111"/>
        <v>0</v>
      </c>
      <c r="CJ37" s="110">
        <f t="shared" si="111"/>
        <v>0</v>
      </c>
      <c r="CK37" s="110">
        <f t="shared" si="111"/>
        <v>51085.76015</v>
      </c>
      <c r="CL37" s="126">
        <f t="shared" si="16"/>
        <v>510857.6015</v>
      </c>
      <c r="CM37" s="127">
        <v>0.0</v>
      </c>
      <c r="CN37" s="128">
        <v>30.0</v>
      </c>
      <c r="CO37" s="129">
        <f t="shared" si="17"/>
        <v>20</v>
      </c>
      <c r="CP37" s="130">
        <v>119.45571379291042</v>
      </c>
      <c r="CQ37" s="131">
        <v>0.0</v>
      </c>
      <c r="CR37" s="132">
        <f t="shared" si="18"/>
        <v>119.4557138</v>
      </c>
      <c r="CS37" s="45">
        <v>57404.0</v>
      </c>
      <c r="CU37" s="8" t="s">
        <v>3</v>
      </c>
    </row>
    <row r="38" ht="13.5" customHeight="1" outlineLevel="1">
      <c r="B38" s="134">
        <v>1.0</v>
      </c>
      <c r="C38" s="88">
        <f t="shared" si="5"/>
        <v>31</v>
      </c>
      <c r="D38" s="87"/>
      <c r="E38" s="89" t="s">
        <v>167</v>
      </c>
      <c r="F38" s="89">
        <v>2.0</v>
      </c>
      <c r="G38" s="90" t="s">
        <v>106</v>
      </c>
      <c r="H38" s="92" t="s">
        <v>168</v>
      </c>
      <c r="I38" s="92" t="s">
        <v>169</v>
      </c>
      <c r="J38" s="93"/>
      <c r="K38" s="43">
        <f t="shared" si="6"/>
        <v>1</v>
      </c>
      <c r="L38" s="92">
        <v>1.0</v>
      </c>
      <c r="M38" s="92" t="s">
        <v>169</v>
      </c>
      <c r="N38" s="94" t="str">
        <f t="shared" si="7"/>
        <v>Eaton | Truck Compenentes</v>
      </c>
      <c r="O38" s="94"/>
      <c r="P38" s="95"/>
      <c r="Q38" s="95"/>
      <c r="R38" s="151">
        <f t="shared" si="112"/>
        <v>0</v>
      </c>
      <c r="S38" s="95">
        <v>0.845</v>
      </c>
      <c r="T38" s="96">
        <f t="shared" si="8"/>
        <v>1589.523811</v>
      </c>
      <c r="U38" s="97">
        <v>1343.14762</v>
      </c>
      <c r="V38" s="98" t="s">
        <v>109</v>
      </c>
      <c r="W38" s="99">
        <v>84555.15</v>
      </c>
      <c r="X38" s="100">
        <v>96339.19</v>
      </c>
      <c r="Y38" s="100">
        <v>128948.66</v>
      </c>
      <c r="Z38" s="100">
        <v>129901.85</v>
      </c>
      <c r="AA38" s="100">
        <v>136147.91</v>
      </c>
      <c r="AB38" s="100">
        <v>129802.37</v>
      </c>
      <c r="AC38" s="100">
        <v>129621.63</v>
      </c>
      <c r="AD38" s="100">
        <v>126507.33</v>
      </c>
      <c r="AE38" s="100">
        <v>104794.19</v>
      </c>
      <c r="AF38" s="100">
        <v>102736.85</v>
      </c>
      <c r="AG38" s="100">
        <v>92854.3</v>
      </c>
      <c r="AH38" s="101">
        <v>80938.19</v>
      </c>
      <c r="AI38" s="102">
        <f t="shared" ref="AI38:AT38" si="113">+ W38 * ( 1 + $AJ$3 )</f>
        <v>84555.15</v>
      </c>
      <c r="AJ38" s="102">
        <f t="shared" si="113"/>
        <v>96339.19</v>
      </c>
      <c r="AK38" s="102">
        <f t="shared" si="113"/>
        <v>128948.66</v>
      </c>
      <c r="AL38" s="102">
        <f t="shared" si="113"/>
        <v>129901.85</v>
      </c>
      <c r="AM38" s="102">
        <f t="shared" si="113"/>
        <v>136147.91</v>
      </c>
      <c r="AN38" s="102">
        <f t="shared" si="113"/>
        <v>129802.37</v>
      </c>
      <c r="AO38" s="102">
        <f t="shared" si="113"/>
        <v>129621.63</v>
      </c>
      <c r="AP38" s="102">
        <f t="shared" si="113"/>
        <v>126507.33</v>
      </c>
      <c r="AQ38" s="102">
        <f t="shared" si="113"/>
        <v>104794.19</v>
      </c>
      <c r="AR38" s="102">
        <f t="shared" si="113"/>
        <v>102736.85</v>
      </c>
      <c r="AS38" s="102">
        <f t="shared" si="113"/>
        <v>92854.3</v>
      </c>
      <c r="AT38" s="102">
        <f t="shared" si="113"/>
        <v>80938.19</v>
      </c>
      <c r="AU38" s="104">
        <v>0.0055</v>
      </c>
      <c r="AV38" s="105">
        <v>680685.8770252324</v>
      </c>
      <c r="AW38" s="106">
        <f t="shared" si="10"/>
        <v>0.8055454166</v>
      </c>
      <c r="AX38" s="90" t="s">
        <v>110</v>
      </c>
      <c r="AY38" s="107">
        <v>0.0</v>
      </c>
      <c r="AZ38" s="108">
        <f t="shared" si="11"/>
        <v>0</v>
      </c>
      <c r="BA38" s="109">
        <f t="shared" si="12"/>
        <v>0.8055454166</v>
      </c>
      <c r="BB38" s="110">
        <f t="shared" ref="BB38:BF38" si="114">+IFERROR( $AZ38 * CB38, 0 )</f>
        <v>0</v>
      </c>
      <c r="BC38" s="110">
        <f t="shared" si="114"/>
        <v>0</v>
      </c>
      <c r="BD38" s="110">
        <f t="shared" si="114"/>
        <v>0</v>
      </c>
      <c r="BE38" s="110">
        <f t="shared" si="114"/>
        <v>0</v>
      </c>
      <c r="BF38" s="111">
        <f t="shared" si="114"/>
        <v>0</v>
      </c>
      <c r="BG38" s="112">
        <v>101.324146</v>
      </c>
      <c r="BH38" s="113"/>
      <c r="BI38" s="114" t="s">
        <v>27</v>
      </c>
      <c r="BJ38" s="115">
        <v>25.0</v>
      </c>
      <c r="BK38" s="116" t="s">
        <v>111</v>
      </c>
      <c r="BL38" s="117">
        <v>0.0</v>
      </c>
      <c r="BM38" s="118">
        <v>20.9</v>
      </c>
      <c r="BN38" s="119"/>
      <c r="BO38" s="120">
        <v>17660.5</v>
      </c>
      <c r="BP38" s="28">
        <v>0.04</v>
      </c>
      <c r="BQ38" s="43">
        <f t="shared" si="14"/>
        <v>27227.43508</v>
      </c>
      <c r="BR38" s="121">
        <v>46082.0</v>
      </c>
      <c r="BS38" s="122">
        <v>182.0</v>
      </c>
      <c r="BT38" s="20">
        <v>46122.444444444445</v>
      </c>
      <c r="BU38" s="20">
        <v>46183.11111111111</v>
      </c>
      <c r="BV38" s="20">
        <v>0.0</v>
      </c>
      <c r="BW38" s="20">
        <v>0.0</v>
      </c>
      <c r="BX38" s="155">
        <f t="shared" si="106"/>
        <v>46341</v>
      </c>
      <c r="BY38" s="156">
        <f t="shared" si="107"/>
        <v>46538</v>
      </c>
      <c r="BZ38" s="124">
        <v>46341.0</v>
      </c>
      <c r="CA38" s="45">
        <v>55639.0</v>
      </c>
      <c r="CB38" s="125">
        <v>0.7</v>
      </c>
      <c r="CC38" s="125">
        <v>0.2</v>
      </c>
      <c r="CD38" s="125" t="s">
        <v>112</v>
      </c>
      <c r="CE38" s="125" t="s">
        <v>112</v>
      </c>
      <c r="CF38" s="125">
        <v>0.1</v>
      </c>
      <c r="CG38" s="110">
        <f t="shared" ref="CG38:CK38" si="115">+IFERROR( $AV38 * CB38, 0 )</f>
        <v>476480.1139</v>
      </c>
      <c r="CH38" s="110">
        <f t="shared" si="115"/>
        <v>136137.1754</v>
      </c>
      <c r="CI38" s="110">
        <f t="shared" si="115"/>
        <v>0</v>
      </c>
      <c r="CJ38" s="110">
        <f t="shared" si="115"/>
        <v>0</v>
      </c>
      <c r="CK38" s="110">
        <f t="shared" si="115"/>
        <v>68068.5877</v>
      </c>
      <c r="CL38" s="126">
        <f t="shared" si="16"/>
        <v>680685.877</v>
      </c>
      <c r="CM38" s="127">
        <v>50191.0</v>
      </c>
      <c r="CN38" s="128">
        <v>30.0</v>
      </c>
      <c r="CO38" s="129">
        <f t="shared" si="17"/>
        <v>5</v>
      </c>
      <c r="CP38" s="130">
        <v>101.324146</v>
      </c>
      <c r="CQ38" s="131">
        <v>0.0</v>
      </c>
      <c r="CR38" s="132">
        <f t="shared" si="18"/>
        <v>101.324146</v>
      </c>
      <c r="CS38" s="45">
        <v>57435.0</v>
      </c>
      <c r="CU38" s="8" t="s">
        <v>3</v>
      </c>
    </row>
    <row r="39" ht="13.5" customHeight="1" outlineLevel="1">
      <c r="B39" s="134">
        <v>1.0</v>
      </c>
      <c r="C39" s="88">
        <f t="shared" si="5"/>
        <v>32</v>
      </c>
      <c r="D39" s="87"/>
      <c r="E39" s="89" t="s">
        <v>167</v>
      </c>
      <c r="F39" s="89">
        <v>2.0</v>
      </c>
      <c r="G39" s="90" t="s">
        <v>106</v>
      </c>
      <c r="H39" s="92" t="s">
        <v>168</v>
      </c>
      <c r="I39" s="92" t="s">
        <v>170</v>
      </c>
      <c r="J39" s="93"/>
      <c r="K39" s="43">
        <f t="shared" si="6"/>
        <v>0</v>
      </c>
      <c r="L39" s="92">
        <v>1.0</v>
      </c>
      <c r="M39" s="92" t="s">
        <v>170</v>
      </c>
      <c r="N39" s="94" t="str">
        <f t="shared" si="7"/>
        <v>Eaton | Nogales</v>
      </c>
      <c r="O39" s="94"/>
      <c r="P39" s="95"/>
      <c r="Q39" s="95"/>
      <c r="R39" s="151">
        <f t="shared" si="112"/>
        <v>0</v>
      </c>
      <c r="S39" s="95">
        <v>0.436</v>
      </c>
      <c r="T39" s="96">
        <f t="shared" si="8"/>
        <v>1620.584679</v>
      </c>
      <c r="U39" s="97">
        <v>706.5749199999999</v>
      </c>
      <c r="V39" s="98" t="s">
        <v>109</v>
      </c>
      <c r="W39" s="99">
        <v>40074.52</v>
      </c>
      <c r="X39" s="100">
        <v>45821.85</v>
      </c>
      <c r="Y39" s="100">
        <v>64395.22</v>
      </c>
      <c r="Z39" s="100">
        <v>72848.73</v>
      </c>
      <c r="AA39" s="100">
        <v>80537.07</v>
      </c>
      <c r="AB39" s="100">
        <v>78283.86</v>
      </c>
      <c r="AC39" s="100">
        <v>67307.2</v>
      </c>
      <c r="AD39" s="100">
        <v>63691.11</v>
      </c>
      <c r="AE39" s="100">
        <v>59488.55</v>
      </c>
      <c r="AF39" s="100">
        <v>55760.47</v>
      </c>
      <c r="AG39" s="100">
        <v>41655.9</v>
      </c>
      <c r="AH39" s="101">
        <v>36710.44</v>
      </c>
      <c r="AI39" s="102">
        <f t="shared" ref="AI39:AT39" si="116">+ W39 * ( 1 + $AJ$3 )</f>
        <v>40074.52</v>
      </c>
      <c r="AJ39" s="102">
        <f t="shared" si="116"/>
        <v>45821.85</v>
      </c>
      <c r="AK39" s="102">
        <f t="shared" si="116"/>
        <v>64395.22</v>
      </c>
      <c r="AL39" s="102">
        <f t="shared" si="116"/>
        <v>72848.73</v>
      </c>
      <c r="AM39" s="102">
        <f t="shared" si="116"/>
        <v>80537.07</v>
      </c>
      <c r="AN39" s="102">
        <f t="shared" si="116"/>
        <v>78283.86</v>
      </c>
      <c r="AO39" s="102">
        <f t="shared" si="116"/>
        <v>67307.2</v>
      </c>
      <c r="AP39" s="102">
        <f t="shared" si="116"/>
        <v>63691.11</v>
      </c>
      <c r="AQ39" s="102">
        <f t="shared" si="116"/>
        <v>59488.55</v>
      </c>
      <c r="AR39" s="102">
        <f t="shared" si="116"/>
        <v>55760.47</v>
      </c>
      <c r="AS39" s="102">
        <f t="shared" si="116"/>
        <v>41655.9</v>
      </c>
      <c r="AT39" s="102">
        <f t="shared" si="116"/>
        <v>36710.44</v>
      </c>
      <c r="AU39" s="104">
        <v>0.0055</v>
      </c>
      <c r="AV39" s="105">
        <v>364101.37229629623</v>
      </c>
      <c r="AW39" s="106">
        <f t="shared" si="10"/>
        <v>0.8350948906</v>
      </c>
      <c r="AX39" s="90" t="s">
        <v>110</v>
      </c>
      <c r="AY39" s="107">
        <v>0.0</v>
      </c>
      <c r="AZ39" s="108">
        <f t="shared" si="11"/>
        <v>0</v>
      </c>
      <c r="BA39" s="109">
        <f t="shared" si="12"/>
        <v>0.8350948906</v>
      </c>
      <c r="BB39" s="110">
        <f t="shared" ref="BB39:BF39" si="117">+IFERROR( $AZ39 * CB39, 0 )</f>
        <v>0</v>
      </c>
      <c r="BC39" s="110">
        <f t="shared" si="117"/>
        <v>0</v>
      </c>
      <c r="BD39" s="110">
        <f t="shared" si="117"/>
        <v>0</v>
      </c>
      <c r="BE39" s="110">
        <f t="shared" si="117"/>
        <v>0</v>
      </c>
      <c r="BF39" s="111">
        <f t="shared" si="117"/>
        <v>0</v>
      </c>
      <c r="BG39" s="112">
        <v>101.166758</v>
      </c>
      <c r="BH39" s="113"/>
      <c r="BI39" s="114" t="s">
        <v>27</v>
      </c>
      <c r="BJ39" s="115">
        <v>25.0</v>
      </c>
      <c r="BK39" s="116" t="s">
        <v>111</v>
      </c>
      <c r="BL39" s="117">
        <v>0.0</v>
      </c>
      <c r="BM39" s="118">
        <v>20.9</v>
      </c>
      <c r="BN39" s="119"/>
      <c r="BO39" s="120">
        <v>9112.4</v>
      </c>
      <c r="BP39" s="28">
        <v>0.04</v>
      </c>
      <c r="BQ39" s="43">
        <f t="shared" si="14"/>
        <v>14564.05489</v>
      </c>
      <c r="BR39" s="121">
        <v>46082.0</v>
      </c>
      <c r="BS39" s="122">
        <v>133.0</v>
      </c>
      <c r="BT39" s="20">
        <v>46111.555555555555</v>
      </c>
      <c r="BU39" s="20">
        <v>46155.88888888889</v>
      </c>
      <c r="BV39" s="20">
        <v>0.0</v>
      </c>
      <c r="BW39" s="20">
        <v>0.0</v>
      </c>
      <c r="BX39" s="155">
        <f t="shared" si="106"/>
        <v>46310</v>
      </c>
      <c r="BY39" s="156">
        <f t="shared" si="107"/>
        <v>46507</v>
      </c>
      <c r="BZ39" s="124">
        <v>46310.0</v>
      </c>
      <c r="CA39" s="45">
        <v>55609.0</v>
      </c>
      <c r="CB39" s="125">
        <v>0.7</v>
      </c>
      <c r="CC39" s="125">
        <v>0.2</v>
      </c>
      <c r="CD39" s="125" t="s">
        <v>112</v>
      </c>
      <c r="CE39" s="125" t="s">
        <v>112</v>
      </c>
      <c r="CF39" s="125">
        <v>0.1</v>
      </c>
      <c r="CG39" s="110">
        <f t="shared" ref="CG39:CK39" si="118">+IFERROR( $AV39 * CB39, 0 )</f>
        <v>254870.9606</v>
      </c>
      <c r="CH39" s="110">
        <f t="shared" si="118"/>
        <v>72820.27446</v>
      </c>
      <c r="CI39" s="110">
        <f t="shared" si="118"/>
        <v>0</v>
      </c>
      <c r="CJ39" s="110">
        <f t="shared" si="118"/>
        <v>0</v>
      </c>
      <c r="CK39" s="110">
        <f t="shared" si="118"/>
        <v>36410.13723</v>
      </c>
      <c r="CL39" s="126">
        <f t="shared" si="16"/>
        <v>364101.3723</v>
      </c>
      <c r="CM39" s="127">
        <v>50160.0</v>
      </c>
      <c r="CN39" s="128">
        <v>30.0</v>
      </c>
      <c r="CO39" s="129">
        <f t="shared" si="17"/>
        <v>5</v>
      </c>
      <c r="CP39" s="130">
        <v>101.166758</v>
      </c>
      <c r="CQ39" s="131">
        <v>0.0</v>
      </c>
      <c r="CR39" s="132">
        <f t="shared" si="18"/>
        <v>101.166758</v>
      </c>
      <c r="CS39" s="45">
        <v>57404.0</v>
      </c>
      <c r="CU39" s="8" t="s">
        <v>3</v>
      </c>
    </row>
    <row r="40" ht="13.5" customHeight="1" outlineLevel="1">
      <c r="B40" s="134">
        <v>1.0</v>
      </c>
      <c r="C40" s="88">
        <f t="shared" si="5"/>
        <v>33</v>
      </c>
      <c r="D40" s="87"/>
      <c r="E40" s="89" t="s">
        <v>167</v>
      </c>
      <c r="F40" s="89">
        <v>2.0</v>
      </c>
      <c r="G40" s="90" t="s">
        <v>106</v>
      </c>
      <c r="H40" s="92" t="s">
        <v>168</v>
      </c>
      <c r="I40" s="92" t="s">
        <v>171</v>
      </c>
      <c r="J40" s="93"/>
      <c r="K40" s="43">
        <f t="shared" si="6"/>
        <v>0</v>
      </c>
      <c r="L40" s="92">
        <v>1.0</v>
      </c>
      <c r="M40" s="92" t="s">
        <v>171</v>
      </c>
      <c r="N40" s="94" t="str">
        <f t="shared" si="7"/>
        <v>Eaton | TCP Motus</v>
      </c>
      <c r="O40" s="94"/>
      <c r="P40" s="95"/>
      <c r="Q40" s="95"/>
      <c r="R40" s="154">
        <f t="shared" si="112"/>
        <v>0</v>
      </c>
      <c r="S40" s="95">
        <v>0.705</v>
      </c>
      <c r="T40" s="96">
        <f t="shared" si="8"/>
        <v>1548.966312</v>
      </c>
      <c r="U40" s="97">
        <v>1092.02125</v>
      </c>
      <c r="V40" s="98" t="s">
        <v>109</v>
      </c>
      <c r="W40" s="99">
        <v>68391.45</v>
      </c>
      <c r="X40" s="100">
        <v>77286.43</v>
      </c>
      <c r="Y40" s="100">
        <v>103755.83</v>
      </c>
      <c r="Z40" s="100">
        <v>105901.51</v>
      </c>
      <c r="AA40" s="100">
        <v>111883.66</v>
      </c>
      <c r="AB40" s="100">
        <v>106550.32</v>
      </c>
      <c r="AC40" s="100">
        <v>107294.99</v>
      </c>
      <c r="AD40" s="100">
        <v>103284.57</v>
      </c>
      <c r="AE40" s="100">
        <v>85265.66</v>
      </c>
      <c r="AF40" s="100">
        <v>82717.35</v>
      </c>
      <c r="AG40" s="100">
        <v>74416.82</v>
      </c>
      <c r="AH40" s="101">
        <v>65272.66</v>
      </c>
      <c r="AI40" s="102">
        <f t="shared" ref="AI40:AT40" si="119">+ W40 * ( 1 + $AJ$3 )</f>
        <v>68391.45</v>
      </c>
      <c r="AJ40" s="102">
        <f t="shared" si="119"/>
        <v>77286.43</v>
      </c>
      <c r="AK40" s="102">
        <f t="shared" si="119"/>
        <v>103755.83</v>
      </c>
      <c r="AL40" s="102">
        <f t="shared" si="119"/>
        <v>105901.51</v>
      </c>
      <c r="AM40" s="102">
        <f t="shared" si="119"/>
        <v>111883.66</v>
      </c>
      <c r="AN40" s="102">
        <f t="shared" si="119"/>
        <v>106550.32</v>
      </c>
      <c r="AO40" s="102">
        <f t="shared" si="119"/>
        <v>107294.99</v>
      </c>
      <c r="AP40" s="102">
        <f t="shared" si="119"/>
        <v>103284.57</v>
      </c>
      <c r="AQ40" s="102">
        <f t="shared" si="119"/>
        <v>85265.66</v>
      </c>
      <c r="AR40" s="102">
        <f t="shared" si="119"/>
        <v>82717.35</v>
      </c>
      <c r="AS40" s="102">
        <f t="shared" si="119"/>
        <v>74416.82</v>
      </c>
      <c r="AT40" s="102">
        <f t="shared" si="119"/>
        <v>65272.66</v>
      </c>
      <c r="AU40" s="104">
        <v>0.0055</v>
      </c>
      <c r="AV40" s="105">
        <v>700717.5513966482</v>
      </c>
      <c r="AW40" s="106">
        <f t="shared" si="10"/>
        <v>0.9939256048</v>
      </c>
      <c r="AX40" s="90" t="s">
        <v>110</v>
      </c>
      <c r="AY40" s="107">
        <v>0.0</v>
      </c>
      <c r="AZ40" s="108">
        <f t="shared" si="11"/>
        <v>0</v>
      </c>
      <c r="BA40" s="109">
        <f t="shared" si="12"/>
        <v>0.9939256048</v>
      </c>
      <c r="BB40" s="110">
        <f t="shared" ref="BB40:BF40" si="120">+IFERROR( $AZ40 * CB40, 0 )</f>
        <v>0</v>
      </c>
      <c r="BC40" s="110">
        <f t="shared" si="120"/>
        <v>0</v>
      </c>
      <c r="BD40" s="110">
        <f t="shared" si="120"/>
        <v>0</v>
      </c>
      <c r="BE40" s="110">
        <f t="shared" si="120"/>
        <v>0</v>
      </c>
      <c r="BF40" s="111">
        <f t="shared" si="120"/>
        <v>0</v>
      </c>
      <c r="BG40" s="112">
        <v>122.6</v>
      </c>
      <c r="BH40" s="113"/>
      <c r="BI40" s="114" t="s">
        <v>27</v>
      </c>
      <c r="BJ40" s="115">
        <v>25.0</v>
      </c>
      <c r="BK40" s="116" t="s">
        <v>111</v>
      </c>
      <c r="BL40" s="117">
        <v>0.0</v>
      </c>
      <c r="BM40" s="118">
        <v>20.9</v>
      </c>
      <c r="BN40" s="119"/>
      <c r="BO40" s="120">
        <v>14734.499999999998</v>
      </c>
      <c r="BP40" s="28">
        <v>0.04</v>
      </c>
      <c r="BQ40" s="43">
        <f t="shared" si="14"/>
        <v>28028.70206</v>
      </c>
      <c r="BR40" s="121">
        <v>46082.0</v>
      </c>
      <c r="BS40" s="122">
        <v>154.0</v>
      </c>
      <c r="BT40" s="20">
        <v>46116.22222222222</v>
      </c>
      <c r="BU40" s="20">
        <v>46167.555555555555</v>
      </c>
      <c r="BV40" s="20">
        <v>0.0</v>
      </c>
      <c r="BW40" s="20">
        <v>0.0</v>
      </c>
      <c r="BX40" s="155">
        <f t="shared" si="106"/>
        <v>46310</v>
      </c>
      <c r="BY40" s="156">
        <f t="shared" si="107"/>
        <v>46507</v>
      </c>
      <c r="BZ40" s="124">
        <v>46310.0</v>
      </c>
      <c r="CA40" s="45">
        <v>55609.0</v>
      </c>
      <c r="CB40" s="125">
        <v>0.7</v>
      </c>
      <c r="CC40" s="125">
        <v>0.2</v>
      </c>
      <c r="CD40" s="125" t="s">
        <v>112</v>
      </c>
      <c r="CE40" s="125" t="s">
        <v>112</v>
      </c>
      <c r="CF40" s="125">
        <v>0.1</v>
      </c>
      <c r="CG40" s="110">
        <f t="shared" ref="CG40:CK40" si="121">+IFERROR( $AV40 * CB40, 0 )</f>
        <v>490502.286</v>
      </c>
      <c r="CH40" s="110">
        <f t="shared" si="121"/>
        <v>140143.5103</v>
      </c>
      <c r="CI40" s="110">
        <f t="shared" si="121"/>
        <v>0</v>
      </c>
      <c r="CJ40" s="110">
        <f t="shared" si="121"/>
        <v>0</v>
      </c>
      <c r="CK40" s="110">
        <f t="shared" si="121"/>
        <v>70071.75514</v>
      </c>
      <c r="CL40" s="126">
        <f t="shared" si="16"/>
        <v>700717.5514</v>
      </c>
      <c r="CM40" s="127">
        <v>50160.0</v>
      </c>
      <c r="CN40" s="128">
        <v>30.0</v>
      </c>
      <c r="CO40" s="129">
        <f t="shared" si="17"/>
        <v>5</v>
      </c>
      <c r="CP40" s="130">
        <v>122.6</v>
      </c>
      <c r="CQ40" s="131">
        <v>0.0</v>
      </c>
      <c r="CR40" s="132">
        <f t="shared" si="18"/>
        <v>122.6</v>
      </c>
      <c r="CS40" s="45">
        <v>57404.0</v>
      </c>
      <c r="CU40" s="8" t="s">
        <v>3</v>
      </c>
    </row>
    <row r="41" ht="13.5" customHeight="1" outlineLevel="1">
      <c r="B41" s="134">
        <v>1.0</v>
      </c>
      <c r="C41" s="88">
        <f t="shared" si="5"/>
        <v>34</v>
      </c>
      <c r="D41" s="87"/>
      <c r="E41" s="89" t="s">
        <v>167</v>
      </c>
      <c r="F41" s="89">
        <v>2.0</v>
      </c>
      <c r="G41" s="90" t="s">
        <v>106</v>
      </c>
      <c r="H41" s="92" t="s">
        <v>168</v>
      </c>
      <c r="I41" s="92" t="s">
        <v>172</v>
      </c>
      <c r="J41" s="93"/>
      <c r="K41" s="43">
        <f t="shared" si="6"/>
        <v>0</v>
      </c>
      <c r="L41" s="92">
        <v>1.0</v>
      </c>
      <c r="M41" s="92" t="s">
        <v>172</v>
      </c>
      <c r="N41" s="94" t="str">
        <f t="shared" si="7"/>
        <v>Eaton | ICD Frontera</v>
      </c>
      <c r="O41" s="94"/>
      <c r="P41" s="95"/>
      <c r="Q41" s="95"/>
      <c r="R41" s="154">
        <f t="shared" si="112"/>
        <v>0</v>
      </c>
      <c r="S41" s="95">
        <v>0.845</v>
      </c>
      <c r="T41" s="96">
        <f t="shared" si="8"/>
        <v>1561.972627</v>
      </c>
      <c r="U41" s="97">
        <v>1319.8668699999996</v>
      </c>
      <c r="V41" s="98" t="s">
        <v>109</v>
      </c>
      <c r="W41" s="99">
        <v>74636.68</v>
      </c>
      <c r="X41" s="100">
        <v>79807.4</v>
      </c>
      <c r="Y41" s="100">
        <v>117939.43</v>
      </c>
      <c r="Z41" s="100">
        <v>135955.22</v>
      </c>
      <c r="AA41" s="100">
        <v>149102.5</v>
      </c>
      <c r="AB41" s="100">
        <v>146473.58</v>
      </c>
      <c r="AC41" s="100">
        <v>137305.34</v>
      </c>
      <c r="AD41" s="100">
        <v>126145.27</v>
      </c>
      <c r="AE41" s="100">
        <v>112052.92</v>
      </c>
      <c r="AF41" s="100">
        <v>96300.93</v>
      </c>
      <c r="AG41" s="100">
        <v>76652.44</v>
      </c>
      <c r="AH41" s="101">
        <v>67495.16</v>
      </c>
      <c r="AI41" s="102">
        <f t="shared" ref="AI41:AT41" si="122">+ W41 * ( 1 + $AJ$3 )</f>
        <v>74636.68</v>
      </c>
      <c r="AJ41" s="102">
        <f t="shared" si="122"/>
        <v>79807.4</v>
      </c>
      <c r="AK41" s="102">
        <f t="shared" si="122"/>
        <v>117939.43</v>
      </c>
      <c r="AL41" s="102">
        <f t="shared" si="122"/>
        <v>135955.22</v>
      </c>
      <c r="AM41" s="102">
        <f t="shared" si="122"/>
        <v>149102.5</v>
      </c>
      <c r="AN41" s="102">
        <f t="shared" si="122"/>
        <v>146473.58</v>
      </c>
      <c r="AO41" s="102">
        <f t="shared" si="122"/>
        <v>137305.34</v>
      </c>
      <c r="AP41" s="102">
        <f t="shared" si="122"/>
        <v>126145.27</v>
      </c>
      <c r="AQ41" s="102">
        <f t="shared" si="122"/>
        <v>112052.92</v>
      </c>
      <c r="AR41" s="102">
        <f t="shared" si="122"/>
        <v>96300.93</v>
      </c>
      <c r="AS41" s="102">
        <f t="shared" si="122"/>
        <v>76652.44</v>
      </c>
      <c r="AT41" s="102">
        <f t="shared" si="122"/>
        <v>67495.16</v>
      </c>
      <c r="AU41" s="104">
        <v>0.0055</v>
      </c>
      <c r="AV41" s="105">
        <v>916180.5990109891</v>
      </c>
      <c r="AW41" s="106">
        <f t="shared" si="10"/>
        <v>1.084237395</v>
      </c>
      <c r="AX41" s="90" t="s">
        <v>110</v>
      </c>
      <c r="AY41" s="107">
        <v>0.0</v>
      </c>
      <c r="AZ41" s="108">
        <f t="shared" si="11"/>
        <v>0</v>
      </c>
      <c r="BA41" s="109">
        <f t="shared" si="12"/>
        <v>1.084237395</v>
      </c>
      <c r="BB41" s="110">
        <f t="shared" ref="BB41:BF41" si="123">+IFERROR( $AZ41 * CB41, 0 )</f>
        <v>0</v>
      </c>
      <c r="BC41" s="110">
        <f t="shared" si="123"/>
        <v>0</v>
      </c>
      <c r="BD41" s="110">
        <f t="shared" si="123"/>
        <v>0</v>
      </c>
      <c r="BE41" s="110">
        <f t="shared" si="123"/>
        <v>0</v>
      </c>
      <c r="BF41" s="111">
        <f t="shared" si="123"/>
        <v>0</v>
      </c>
      <c r="BG41" s="112">
        <v>133.1</v>
      </c>
      <c r="BH41" s="113"/>
      <c r="BI41" s="114" t="s">
        <v>27</v>
      </c>
      <c r="BJ41" s="115">
        <v>25.0</v>
      </c>
      <c r="BK41" s="116" t="s">
        <v>111</v>
      </c>
      <c r="BL41" s="117">
        <v>0.0</v>
      </c>
      <c r="BM41" s="118">
        <v>20.9</v>
      </c>
      <c r="BN41" s="119"/>
      <c r="BO41" s="120">
        <v>17660.5</v>
      </c>
      <c r="BP41" s="28">
        <v>0.04</v>
      </c>
      <c r="BQ41" s="43">
        <f t="shared" si="14"/>
        <v>36647.22396</v>
      </c>
      <c r="BR41" s="121">
        <v>46082.0</v>
      </c>
      <c r="BS41" s="122">
        <v>212.0</v>
      </c>
      <c r="BT41" s="20">
        <v>46129.11111111111</v>
      </c>
      <c r="BU41" s="20">
        <v>46199.77777777778</v>
      </c>
      <c r="BV41" s="20">
        <v>0.0</v>
      </c>
      <c r="BW41" s="20">
        <v>0.0</v>
      </c>
      <c r="BX41" s="155">
        <f t="shared" si="106"/>
        <v>46341</v>
      </c>
      <c r="BY41" s="156">
        <f t="shared" si="107"/>
        <v>46538</v>
      </c>
      <c r="BZ41" s="124">
        <v>46341.0</v>
      </c>
      <c r="CA41" s="45">
        <v>55639.0</v>
      </c>
      <c r="CB41" s="125">
        <v>0.7</v>
      </c>
      <c r="CC41" s="125">
        <v>0.2</v>
      </c>
      <c r="CD41" s="125" t="s">
        <v>112</v>
      </c>
      <c r="CE41" s="125" t="s">
        <v>112</v>
      </c>
      <c r="CF41" s="125">
        <v>0.1</v>
      </c>
      <c r="CG41" s="110">
        <f t="shared" ref="CG41:CK41" si="124">+IFERROR( $AV41 * CB41, 0 )</f>
        <v>641326.4193</v>
      </c>
      <c r="CH41" s="110">
        <f t="shared" si="124"/>
        <v>183236.1198</v>
      </c>
      <c r="CI41" s="110">
        <f t="shared" si="124"/>
        <v>0</v>
      </c>
      <c r="CJ41" s="110">
        <f t="shared" si="124"/>
        <v>0</v>
      </c>
      <c r="CK41" s="110">
        <f t="shared" si="124"/>
        <v>91618.0599</v>
      </c>
      <c r="CL41" s="126">
        <f t="shared" si="16"/>
        <v>916180.599</v>
      </c>
      <c r="CM41" s="127">
        <v>50191.0</v>
      </c>
      <c r="CN41" s="128">
        <v>30.0</v>
      </c>
      <c r="CO41" s="129">
        <f t="shared" si="17"/>
        <v>5</v>
      </c>
      <c r="CP41" s="130">
        <v>133.1</v>
      </c>
      <c r="CQ41" s="131">
        <v>0.0</v>
      </c>
      <c r="CR41" s="132">
        <f t="shared" si="18"/>
        <v>133.1</v>
      </c>
      <c r="CS41" s="45">
        <v>57435.0</v>
      </c>
      <c r="CU41" s="8" t="s">
        <v>3</v>
      </c>
    </row>
    <row r="42" ht="13.5" customHeight="1" outlineLevel="1">
      <c r="B42" s="134">
        <v>1.0</v>
      </c>
      <c r="C42" s="88">
        <f t="shared" si="5"/>
        <v>35</v>
      </c>
      <c r="D42" s="87"/>
      <c r="E42" s="89" t="s">
        <v>167</v>
      </c>
      <c r="F42" s="89">
        <v>2.0</v>
      </c>
      <c r="G42" s="90" t="s">
        <v>106</v>
      </c>
      <c r="H42" s="92" t="s">
        <v>168</v>
      </c>
      <c r="I42" s="92" t="s">
        <v>173</v>
      </c>
      <c r="J42" s="93"/>
      <c r="K42" s="43">
        <f t="shared" si="6"/>
        <v>0</v>
      </c>
      <c r="L42" s="92">
        <v>1.0</v>
      </c>
      <c r="M42" s="92" t="s">
        <v>173</v>
      </c>
      <c r="N42" s="94" t="str">
        <f t="shared" si="7"/>
        <v>Eaton | Curuscant</v>
      </c>
      <c r="O42" s="94"/>
      <c r="P42" s="95"/>
      <c r="Q42" s="95"/>
      <c r="R42" s="154">
        <f t="shared" si="112"/>
        <v>0</v>
      </c>
      <c r="S42" s="95">
        <v>0.18</v>
      </c>
      <c r="T42" s="96">
        <f t="shared" si="8"/>
        <v>1546.733111</v>
      </c>
      <c r="U42" s="97">
        <v>278.41195999999997</v>
      </c>
      <c r="V42" s="98" t="s">
        <v>109</v>
      </c>
      <c r="W42" s="99">
        <v>17023.05</v>
      </c>
      <c r="X42" s="100">
        <v>19359.23</v>
      </c>
      <c r="Y42" s="100">
        <v>26306.93</v>
      </c>
      <c r="Z42" s="100">
        <v>27344.34</v>
      </c>
      <c r="AA42" s="100">
        <v>28927.46</v>
      </c>
      <c r="AB42" s="100">
        <v>27653.34</v>
      </c>
      <c r="AC42" s="100">
        <v>27848.56</v>
      </c>
      <c r="AD42" s="100">
        <v>26681.65</v>
      </c>
      <c r="AE42" s="100">
        <v>21765.75</v>
      </c>
      <c r="AF42" s="100">
        <v>20833.65</v>
      </c>
      <c r="AG42" s="100">
        <v>18517.82</v>
      </c>
      <c r="AH42" s="101">
        <v>16150.18</v>
      </c>
      <c r="AI42" s="102">
        <f t="shared" ref="AI42:AT42" si="125">+ W42 * ( 1 + $AJ$3 )</f>
        <v>17023.05</v>
      </c>
      <c r="AJ42" s="102">
        <f t="shared" si="125"/>
        <v>19359.23</v>
      </c>
      <c r="AK42" s="102">
        <f t="shared" si="125"/>
        <v>26306.93</v>
      </c>
      <c r="AL42" s="102">
        <f t="shared" si="125"/>
        <v>27344.34</v>
      </c>
      <c r="AM42" s="102">
        <f t="shared" si="125"/>
        <v>28927.46</v>
      </c>
      <c r="AN42" s="102">
        <f t="shared" si="125"/>
        <v>27653.34</v>
      </c>
      <c r="AO42" s="102">
        <f t="shared" si="125"/>
        <v>27848.56</v>
      </c>
      <c r="AP42" s="102">
        <f t="shared" si="125"/>
        <v>26681.65</v>
      </c>
      <c r="AQ42" s="102">
        <f t="shared" si="125"/>
        <v>21765.75</v>
      </c>
      <c r="AR42" s="102">
        <f t="shared" si="125"/>
        <v>20833.65</v>
      </c>
      <c r="AS42" s="102">
        <f t="shared" si="125"/>
        <v>18517.82</v>
      </c>
      <c r="AT42" s="102">
        <f t="shared" si="125"/>
        <v>16150.18</v>
      </c>
      <c r="AU42" s="104">
        <v>0.0055</v>
      </c>
      <c r="AV42" s="105">
        <v>174638.21184</v>
      </c>
      <c r="AW42" s="106">
        <f t="shared" si="10"/>
        <v>0.970212288</v>
      </c>
      <c r="AX42" s="90" t="s">
        <v>110</v>
      </c>
      <c r="AY42" s="107">
        <v>0.0</v>
      </c>
      <c r="AZ42" s="108">
        <f t="shared" si="11"/>
        <v>0</v>
      </c>
      <c r="BA42" s="109">
        <f t="shared" si="12"/>
        <v>0.970212288</v>
      </c>
      <c r="BB42" s="110">
        <f t="shared" ref="BB42:BF42" si="126">+IFERROR( $AZ42 * CB42, 0 )</f>
        <v>0</v>
      </c>
      <c r="BC42" s="110">
        <f t="shared" si="126"/>
        <v>0</v>
      </c>
      <c r="BD42" s="110">
        <f t="shared" si="126"/>
        <v>0</v>
      </c>
      <c r="BE42" s="110">
        <f t="shared" si="126"/>
        <v>0</v>
      </c>
      <c r="BF42" s="111">
        <f t="shared" si="126"/>
        <v>0</v>
      </c>
      <c r="BG42" s="112">
        <v>121.3</v>
      </c>
      <c r="BH42" s="113"/>
      <c r="BI42" s="114" t="s">
        <v>27</v>
      </c>
      <c r="BJ42" s="115">
        <v>25.0</v>
      </c>
      <c r="BK42" s="116" t="s">
        <v>111</v>
      </c>
      <c r="BL42" s="117">
        <v>0.0</v>
      </c>
      <c r="BM42" s="118">
        <v>20.9</v>
      </c>
      <c r="BN42" s="119"/>
      <c r="BO42" s="120">
        <v>3761.9999999999995</v>
      </c>
      <c r="BP42" s="28">
        <v>0.04</v>
      </c>
      <c r="BQ42" s="43">
        <f t="shared" si="14"/>
        <v>6985.528474</v>
      </c>
      <c r="BR42" s="121">
        <v>46082.0</v>
      </c>
      <c r="BS42" s="122">
        <v>98.0</v>
      </c>
      <c r="BT42" s="20">
        <v>46103.77777777778</v>
      </c>
      <c r="BU42" s="20">
        <v>46136.444444444445</v>
      </c>
      <c r="BV42" s="20">
        <v>0.0</v>
      </c>
      <c r="BW42" s="20">
        <v>0.0</v>
      </c>
      <c r="BX42" s="155">
        <f t="shared" si="106"/>
        <v>46280</v>
      </c>
      <c r="BY42" s="156">
        <f t="shared" si="107"/>
        <v>46477</v>
      </c>
      <c r="BZ42" s="124">
        <v>46280.0</v>
      </c>
      <c r="CA42" s="45">
        <v>55578.0</v>
      </c>
      <c r="CB42" s="125">
        <v>0.7</v>
      </c>
      <c r="CC42" s="125">
        <v>0.2</v>
      </c>
      <c r="CD42" s="125" t="s">
        <v>112</v>
      </c>
      <c r="CE42" s="125" t="s">
        <v>112</v>
      </c>
      <c r="CF42" s="125">
        <v>0.1</v>
      </c>
      <c r="CG42" s="110">
        <f t="shared" ref="CG42:CK42" si="127">+IFERROR( $AV42 * CB42, 0 )</f>
        <v>122246.7483</v>
      </c>
      <c r="CH42" s="110">
        <f t="shared" si="127"/>
        <v>34927.64237</v>
      </c>
      <c r="CI42" s="110">
        <f t="shared" si="127"/>
        <v>0</v>
      </c>
      <c r="CJ42" s="110">
        <f t="shared" si="127"/>
        <v>0</v>
      </c>
      <c r="CK42" s="110">
        <f t="shared" si="127"/>
        <v>17463.82118</v>
      </c>
      <c r="CL42" s="126">
        <f t="shared" si="16"/>
        <v>174638.2118</v>
      </c>
      <c r="CM42" s="127">
        <v>50130.0</v>
      </c>
      <c r="CN42" s="128">
        <v>30.0</v>
      </c>
      <c r="CO42" s="129">
        <f t="shared" si="17"/>
        <v>5</v>
      </c>
      <c r="CP42" s="130">
        <v>121.3</v>
      </c>
      <c r="CQ42" s="131">
        <v>0.0</v>
      </c>
      <c r="CR42" s="132">
        <f t="shared" si="18"/>
        <v>121.3</v>
      </c>
      <c r="CS42" s="45">
        <v>57376.0</v>
      </c>
      <c r="CU42" s="8" t="s">
        <v>3</v>
      </c>
    </row>
    <row r="43" ht="13.5" customHeight="1" outlineLevel="1">
      <c r="B43" s="134">
        <v>1.0</v>
      </c>
      <c r="C43" s="88">
        <f t="shared" si="5"/>
        <v>36</v>
      </c>
      <c r="D43" s="87"/>
      <c r="E43" s="89" t="s">
        <v>167</v>
      </c>
      <c r="F43" s="89">
        <v>2.0</v>
      </c>
      <c r="G43" s="90" t="s">
        <v>106</v>
      </c>
      <c r="H43" s="92" t="s">
        <v>168</v>
      </c>
      <c r="I43" s="92" t="s">
        <v>174</v>
      </c>
      <c r="J43" s="93"/>
      <c r="K43" s="43">
        <f t="shared" si="6"/>
        <v>0</v>
      </c>
      <c r="L43" s="92">
        <v>1.0</v>
      </c>
      <c r="M43" s="92" t="s">
        <v>175</v>
      </c>
      <c r="N43" s="94" t="str">
        <f t="shared" si="7"/>
        <v>Eaton | Bussmann</v>
      </c>
      <c r="O43" s="94"/>
      <c r="P43" s="95"/>
      <c r="Q43" s="95"/>
      <c r="R43" s="154">
        <f t="shared" si="112"/>
        <v>0</v>
      </c>
      <c r="S43" s="95">
        <v>0.845</v>
      </c>
      <c r="T43" s="96">
        <f t="shared" si="8"/>
        <v>1578.413491</v>
      </c>
      <c r="U43" s="97">
        <v>1333.7594</v>
      </c>
      <c r="V43" s="98" t="s">
        <v>109</v>
      </c>
      <c r="W43" s="99">
        <v>75611.11</v>
      </c>
      <c r="X43" s="100">
        <v>81361.81</v>
      </c>
      <c r="Y43" s="100">
        <v>119520.84</v>
      </c>
      <c r="Z43" s="100">
        <v>137667.0</v>
      </c>
      <c r="AA43" s="100">
        <v>149770.58</v>
      </c>
      <c r="AB43" s="100">
        <v>148056.28</v>
      </c>
      <c r="AC43" s="100">
        <v>139165.72</v>
      </c>
      <c r="AD43" s="100">
        <v>127610.99</v>
      </c>
      <c r="AE43" s="100">
        <v>112823.7</v>
      </c>
      <c r="AF43" s="100">
        <v>96485.06</v>
      </c>
      <c r="AG43" s="100">
        <v>77358.25</v>
      </c>
      <c r="AH43" s="101">
        <v>68328.06</v>
      </c>
      <c r="AI43" s="102">
        <f t="shared" ref="AI43:AT43" si="128">+ W43 * ( 1 + $AJ$3 )</f>
        <v>75611.11</v>
      </c>
      <c r="AJ43" s="102">
        <f t="shared" si="128"/>
        <v>81361.81</v>
      </c>
      <c r="AK43" s="102">
        <f t="shared" si="128"/>
        <v>119520.84</v>
      </c>
      <c r="AL43" s="102">
        <f t="shared" si="128"/>
        <v>137667</v>
      </c>
      <c r="AM43" s="102">
        <f t="shared" si="128"/>
        <v>149770.58</v>
      </c>
      <c r="AN43" s="102">
        <f t="shared" si="128"/>
        <v>148056.28</v>
      </c>
      <c r="AO43" s="102">
        <f t="shared" si="128"/>
        <v>139165.72</v>
      </c>
      <c r="AP43" s="102">
        <f t="shared" si="128"/>
        <v>127610.99</v>
      </c>
      <c r="AQ43" s="102">
        <f t="shared" si="128"/>
        <v>112823.7</v>
      </c>
      <c r="AR43" s="102">
        <f t="shared" si="128"/>
        <v>96485.06</v>
      </c>
      <c r="AS43" s="102">
        <f t="shared" si="128"/>
        <v>77358.25</v>
      </c>
      <c r="AT43" s="102">
        <f t="shared" si="128"/>
        <v>68328.06</v>
      </c>
      <c r="AU43" s="104">
        <v>0.0055</v>
      </c>
      <c r="AV43" s="105">
        <v>788198.6662251656</v>
      </c>
      <c r="AW43" s="106">
        <f t="shared" si="10"/>
        <v>0.9327794867</v>
      </c>
      <c r="AX43" s="90" t="s">
        <v>110</v>
      </c>
      <c r="AY43" s="107">
        <v>0.0</v>
      </c>
      <c r="AZ43" s="108">
        <f t="shared" si="11"/>
        <v>0</v>
      </c>
      <c r="BA43" s="109">
        <f t="shared" si="12"/>
        <v>0.9327794867</v>
      </c>
      <c r="BB43" s="110">
        <f t="shared" ref="BB43:BF43" si="129">+IFERROR( $AZ43 * CB43, 0 )</f>
        <v>0</v>
      </c>
      <c r="BC43" s="110">
        <f t="shared" si="129"/>
        <v>0</v>
      </c>
      <c r="BD43" s="110">
        <f t="shared" si="129"/>
        <v>0</v>
      </c>
      <c r="BE43" s="110">
        <f t="shared" si="129"/>
        <v>0</v>
      </c>
      <c r="BF43" s="111">
        <f t="shared" si="129"/>
        <v>0</v>
      </c>
      <c r="BG43" s="112">
        <v>114.0</v>
      </c>
      <c r="BH43" s="113"/>
      <c r="BI43" s="114" t="s">
        <v>27</v>
      </c>
      <c r="BJ43" s="115">
        <v>25.0</v>
      </c>
      <c r="BK43" s="116" t="s">
        <v>111</v>
      </c>
      <c r="BL43" s="117">
        <v>0.0</v>
      </c>
      <c r="BM43" s="118">
        <v>20.9</v>
      </c>
      <c r="BN43" s="119"/>
      <c r="BO43" s="120">
        <v>17660.5</v>
      </c>
      <c r="BP43" s="28">
        <v>0.04</v>
      </c>
      <c r="BQ43" s="43">
        <f t="shared" si="14"/>
        <v>31527.94665</v>
      </c>
      <c r="BR43" s="121">
        <v>46082.0</v>
      </c>
      <c r="BS43" s="122">
        <v>140.0</v>
      </c>
      <c r="BT43" s="20">
        <v>46113.11111111111</v>
      </c>
      <c r="BU43" s="20">
        <v>46159.77777777778</v>
      </c>
      <c r="BV43" s="20">
        <v>0.0</v>
      </c>
      <c r="BW43" s="20">
        <v>0.0</v>
      </c>
      <c r="BX43" s="155">
        <f t="shared" si="106"/>
        <v>46310</v>
      </c>
      <c r="BY43" s="156">
        <f t="shared" si="107"/>
        <v>46507</v>
      </c>
      <c r="BZ43" s="124">
        <v>46310.0</v>
      </c>
      <c r="CA43" s="45">
        <v>55609.0</v>
      </c>
      <c r="CB43" s="125">
        <v>0.7</v>
      </c>
      <c r="CC43" s="125">
        <v>0.2</v>
      </c>
      <c r="CD43" s="125" t="s">
        <v>112</v>
      </c>
      <c r="CE43" s="125" t="s">
        <v>112</v>
      </c>
      <c r="CF43" s="125">
        <v>0.1</v>
      </c>
      <c r="CG43" s="110">
        <f t="shared" ref="CG43:CK43" si="130">+IFERROR( $AV43 * CB43, 0 )</f>
        <v>551739.0664</v>
      </c>
      <c r="CH43" s="110">
        <f t="shared" si="130"/>
        <v>157639.7332</v>
      </c>
      <c r="CI43" s="110">
        <f t="shared" si="130"/>
        <v>0</v>
      </c>
      <c r="CJ43" s="110">
        <f t="shared" si="130"/>
        <v>0</v>
      </c>
      <c r="CK43" s="110">
        <f t="shared" si="130"/>
        <v>78819.86662</v>
      </c>
      <c r="CL43" s="126">
        <f t="shared" si="16"/>
        <v>788198.6662</v>
      </c>
      <c r="CM43" s="127">
        <v>50160.0</v>
      </c>
      <c r="CN43" s="128">
        <v>30.0</v>
      </c>
      <c r="CO43" s="129">
        <f t="shared" si="17"/>
        <v>5</v>
      </c>
      <c r="CP43" s="130">
        <v>114.0</v>
      </c>
      <c r="CQ43" s="131">
        <v>0.0</v>
      </c>
      <c r="CR43" s="132">
        <f t="shared" si="18"/>
        <v>114</v>
      </c>
      <c r="CS43" s="45">
        <v>57404.0</v>
      </c>
      <c r="CU43" s="8" t="s">
        <v>3</v>
      </c>
    </row>
    <row r="44" ht="13.5" customHeight="1" outlineLevel="1">
      <c r="B44" s="134">
        <v>1.0</v>
      </c>
      <c r="C44" s="88">
        <f t="shared" si="5"/>
        <v>37</v>
      </c>
      <c r="D44" s="87"/>
      <c r="E44" s="89" t="s">
        <v>167</v>
      </c>
      <c r="F44" s="89">
        <v>2.0</v>
      </c>
      <c r="G44" s="90" t="s">
        <v>106</v>
      </c>
      <c r="H44" s="92" t="s">
        <v>168</v>
      </c>
      <c r="I44" s="92" t="s">
        <v>176</v>
      </c>
      <c r="J44" s="93"/>
      <c r="K44" s="43">
        <f t="shared" si="6"/>
        <v>0</v>
      </c>
      <c r="L44" s="92">
        <v>1.0</v>
      </c>
      <c r="M44" s="92" t="s">
        <v>176</v>
      </c>
      <c r="N44" s="94" t="str">
        <f t="shared" si="7"/>
        <v>Eaton | Eaton Filtration Reynosa</v>
      </c>
      <c r="O44" s="94"/>
      <c r="P44" s="95"/>
      <c r="Q44" s="95"/>
      <c r="R44" s="154">
        <f t="shared" si="112"/>
        <v>0</v>
      </c>
      <c r="S44" s="95">
        <v>0.845</v>
      </c>
      <c r="T44" s="96">
        <f t="shared" si="8"/>
        <v>1319.058178</v>
      </c>
      <c r="U44" s="97">
        <v>1114.6041599999999</v>
      </c>
      <c r="V44" s="98" t="s">
        <v>109</v>
      </c>
      <c r="W44" s="99">
        <v>58182.55</v>
      </c>
      <c r="X44" s="100">
        <v>63286.4</v>
      </c>
      <c r="Y44" s="100">
        <v>91509.83</v>
      </c>
      <c r="Z44" s="100">
        <v>101206.02</v>
      </c>
      <c r="AA44" s="100">
        <v>119772.37</v>
      </c>
      <c r="AB44" s="100">
        <v>124972.16</v>
      </c>
      <c r="AC44" s="100">
        <v>127735.28</v>
      </c>
      <c r="AD44" s="100">
        <v>121896.26</v>
      </c>
      <c r="AE44" s="100">
        <v>98191.59</v>
      </c>
      <c r="AF44" s="100">
        <v>87466.25</v>
      </c>
      <c r="AG44" s="100">
        <v>66637.85</v>
      </c>
      <c r="AH44" s="101">
        <v>53747.6</v>
      </c>
      <c r="AI44" s="102">
        <f t="shared" ref="AI44:AT44" si="131">+ W44 * ( 1 + $AJ$3 )</f>
        <v>58182.55</v>
      </c>
      <c r="AJ44" s="102">
        <f t="shared" si="131"/>
        <v>63286.4</v>
      </c>
      <c r="AK44" s="102">
        <f t="shared" si="131"/>
        <v>91509.83</v>
      </c>
      <c r="AL44" s="102">
        <f t="shared" si="131"/>
        <v>101206.02</v>
      </c>
      <c r="AM44" s="102">
        <f t="shared" si="131"/>
        <v>119772.37</v>
      </c>
      <c r="AN44" s="102">
        <f t="shared" si="131"/>
        <v>124972.16</v>
      </c>
      <c r="AO44" s="102">
        <f t="shared" si="131"/>
        <v>127735.28</v>
      </c>
      <c r="AP44" s="102">
        <f t="shared" si="131"/>
        <v>121896.26</v>
      </c>
      <c r="AQ44" s="102">
        <f t="shared" si="131"/>
        <v>98191.59</v>
      </c>
      <c r="AR44" s="102">
        <f t="shared" si="131"/>
        <v>87466.25</v>
      </c>
      <c r="AS44" s="102">
        <f t="shared" si="131"/>
        <v>66637.85</v>
      </c>
      <c r="AT44" s="102">
        <f t="shared" si="131"/>
        <v>53747.6</v>
      </c>
      <c r="AU44" s="104">
        <v>0.0055</v>
      </c>
      <c r="AV44" s="105">
        <v>691088.6480468749</v>
      </c>
      <c r="AW44" s="106">
        <f t="shared" si="10"/>
        <v>0.8178563882</v>
      </c>
      <c r="AX44" s="90" t="s">
        <v>110</v>
      </c>
      <c r="AY44" s="107">
        <v>0.0</v>
      </c>
      <c r="AZ44" s="108">
        <f t="shared" si="11"/>
        <v>0</v>
      </c>
      <c r="BA44" s="109">
        <f t="shared" si="12"/>
        <v>0.8178563882</v>
      </c>
      <c r="BB44" s="110">
        <f t="shared" ref="BB44:BF44" si="132">+IFERROR( $AZ44 * CB44, 0 )</f>
        <v>0</v>
      </c>
      <c r="BC44" s="110">
        <f t="shared" si="132"/>
        <v>0</v>
      </c>
      <c r="BD44" s="110">
        <f t="shared" si="132"/>
        <v>0</v>
      </c>
      <c r="BE44" s="110">
        <f t="shared" si="132"/>
        <v>0</v>
      </c>
      <c r="BF44" s="111">
        <f t="shared" si="132"/>
        <v>0</v>
      </c>
      <c r="BG44" s="112">
        <v>123.4</v>
      </c>
      <c r="BH44" s="113"/>
      <c r="BI44" s="114" t="s">
        <v>27</v>
      </c>
      <c r="BJ44" s="115">
        <v>25.0</v>
      </c>
      <c r="BK44" s="116" t="s">
        <v>111</v>
      </c>
      <c r="BL44" s="117">
        <v>0.0</v>
      </c>
      <c r="BM44" s="118">
        <v>20.9</v>
      </c>
      <c r="BN44" s="119"/>
      <c r="BO44" s="120">
        <v>17660.5</v>
      </c>
      <c r="BP44" s="28">
        <v>0.04</v>
      </c>
      <c r="BQ44" s="43">
        <f t="shared" si="14"/>
        <v>27643.54592</v>
      </c>
      <c r="BR44" s="121">
        <v>46082.0</v>
      </c>
      <c r="BS44" s="122">
        <v>182.0</v>
      </c>
      <c r="BT44" s="20">
        <v>46122.444444444445</v>
      </c>
      <c r="BU44" s="20">
        <v>46183.11111111111</v>
      </c>
      <c r="BV44" s="20">
        <v>0.0</v>
      </c>
      <c r="BW44" s="20">
        <v>0.0</v>
      </c>
      <c r="BX44" s="155">
        <f t="shared" si="106"/>
        <v>46341</v>
      </c>
      <c r="BY44" s="156">
        <f t="shared" si="107"/>
        <v>46538</v>
      </c>
      <c r="BZ44" s="124">
        <v>46341.0</v>
      </c>
      <c r="CA44" s="45">
        <v>55639.0</v>
      </c>
      <c r="CB44" s="125">
        <v>0.7</v>
      </c>
      <c r="CC44" s="125">
        <v>0.2</v>
      </c>
      <c r="CD44" s="125" t="s">
        <v>112</v>
      </c>
      <c r="CE44" s="125" t="s">
        <v>112</v>
      </c>
      <c r="CF44" s="125">
        <v>0.1</v>
      </c>
      <c r="CG44" s="110">
        <f t="shared" ref="CG44:CK44" si="133">+IFERROR( $AV44 * CB44, 0 )</f>
        <v>483762.0536</v>
      </c>
      <c r="CH44" s="110">
        <f t="shared" si="133"/>
        <v>138217.7296</v>
      </c>
      <c r="CI44" s="110">
        <f t="shared" si="133"/>
        <v>0</v>
      </c>
      <c r="CJ44" s="110">
        <f t="shared" si="133"/>
        <v>0</v>
      </c>
      <c r="CK44" s="110">
        <f t="shared" si="133"/>
        <v>69108.8648</v>
      </c>
      <c r="CL44" s="126">
        <f t="shared" si="16"/>
        <v>691088.648</v>
      </c>
      <c r="CM44" s="127">
        <v>50191.0</v>
      </c>
      <c r="CN44" s="128">
        <v>30.0</v>
      </c>
      <c r="CO44" s="129">
        <f t="shared" si="17"/>
        <v>5</v>
      </c>
      <c r="CP44" s="130">
        <v>123.4</v>
      </c>
      <c r="CQ44" s="131">
        <v>0.0</v>
      </c>
      <c r="CR44" s="132">
        <f t="shared" si="18"/>
        <v>123.4</v>
      </c>
      <c r="CS44" s="45">
        <v>57435.0</v>
      </c>
      <c r="CU44" s="8" t="s">
        <v>3</v>
      </c>
    </row>
    <row r="45" ht="13.5" customHeight="1" outlineLevel="1">
      <c r="B45" s="134">
        <v>1.0</v>
      </c>
      <c r="C45" s="88">
        <f t="shared" si="5"/>
        <v>38</v>
      </c>
      <c r="D45" s="87"/>
      <c r="E45" s="89" t="s">
        <v>167</v>
      </c>
      <c r="F45" s="89">
        <v>2.0</v>
      </c>
      <c r="G45" s="90" t="s">
        <v>106</v>
      </c>
      <c r="H45" s="92" t="s">
        <v>168</v>
      </c>
      <c r="I45" s="92" t="s">
        <v>177</v>
      </c>
      <c r="J45" s="93"/>
      <c r="K45" s="43">
        <f t="shared" si="6"/>
        <v>0</v>
      </c>
      <c r="L45" s="92">
        <v>1.0</v>
      </c>
      <c r="M45" s="92" t="s">
        <v>177</v>
      </c>
      <c r="N45" s="94" t="str">
        <f t="shared" si="7"/>
        <v>Eaton | Eaton Industries Reynosa</v>
      </c>
      <c r="O45" s="94"/>
      <c r="P45" s="95"/>
      <c r="Q45" s="95"/>
      <c r="R45" s="154">
        <f t="shared" si="112"/>
        <v>0</v>
      </c>
      <c r="S45" s="95">
        <v>0.63</v>
      </c>
      <c r="T45" s="96">
        <f t="shared" si="8"/>
        <v>1310.271333</v>
      </c>
      <c r="U45" s="97">
        <v>825.47094</v>
      </c>
      <c r="V45" s="98" t="s">
        <v>109</v>
      </c>
      <c r="W45" s="99">
        <v>44032.96</v>
      </c>
      <c r="X45" s="100">
        <v>47817.48</v>
      </c>
      <c r="Y45" s="100">
        <v>67861.54</v>
      </c>
      <c r="Z45" s="100">
        <v>75310.05</v>
      </c>
      <c r="AA45" s="100">
        <v>88803.68</v>
      </c>
      <c r="AB45" s="100">
        <v>91236.21</v>
      </c>
      <c r="AC45" s="100">
        <v>93499.12</v>
      </c>
      <c r="AD45" s="100">
        <v>88738.4</v>
      </c>
      <c r="AE45" s="100">
        <v>72435.98</v>
      </c>
      <c r="AF45" s="100">
        <v>65372.24</v>
      </c>
      <c r="AG45" s="100">
        <v>50077.88</v>
      </c>
      <c r="AH45" s="101">
        <v>40285.41</v>
      </c>
      <c r="AI45" s="102">
        <f t="shared" ref="AI45:AT45" si="134">+ W45 * ( 1 + $AJ$3 )</f>
        <v>44032.96</v>
      </c>
      <c r="AJ45" s="102">
        <f t="shared" si="134"/>
        <v>47817.48</v>
      </c>
      <c r="AK45" s="102">
        <f t="shared" si="134"/>
        <v>67861.54</v>
      </c>
      <c r="AL45" s="102">
        <f t="shared" si="134"/>
        <v>75310.05</v>
      </c>
      <c r="AM45" s="102">
        <f t="shared" si="134"/>
        <v>88803.68</v>
      </c>
      <c r="AN45" s="102">
        <f t="shared" si="134"/>
        <v>91236.21</v>
      </c>
      <c r="AO45" s="102">
        <f t="shared" si="134"/>
        <v>93499.12</v>
      </c>
      <c r="AP45" s="102">
        <f t="shared" si="134"/>
        <v>88738.4</v>
      </c>
      <c r="AQ45" s="102">
        <f t="shared" si="134"/>
        <v>72435.98</v>
      </c>
      <c r="AR45" s="102">
        <f t="shared" si="134"/>
        <v>65372.24</v>
      </c>
      <c r="AS45" s="102">
        <f t="shared" si="134"/>
        <v>50077.88</v>
      </c>
      <c r="AT45" s="102">
        <f t="shared" si="134"/>
        <v>40285.41</v>
      </c>
      <c r="AU45" s="104">
        <v>0.0055</v>
      </c>
      <c r="AV45" s="105">
        <v>469953.54</v>
      </c>
      <c r="AW45" s="106">
        <f t="shared" si="10"/>
        <v>0.745958</v>
      </c>
      <c r="AX45" s="90" t="s">
        <v>110</v>
      </c>
      <c r="AY45" s="107">
        <v>0.0</v>
      </c>
      <c r="AZ45" s="108">
        <f t="shared" si="11"/>
        <v>0</v>
      </c>
      <c r="BA45" s="109">
        <f t="shared" si="12"/>
        <v>0.745958</v>
      </c>
      <c r="BB45" s="110">
        <f t="shared" ref="BB45:BF45" si="135">+IFERROR( $AZ45 * CB45, 0 )</f>
        <v>0</v>
      </c>
      <c r="BC45" s="110">
        <f t="shared" si="135"/>
        <v>0</v>
      </c>
      <c r="BD45" s="110">
        <f t="shared" si="135"/>
        <v>0</v>
      </c>
      <c r="BE45" s="110">
        <f t="shared" si="135"/>
        <v>0</v>
      </c>
      <c r="BF45" s="111">
        <f t="shared" si="135"/>
        <v>0</v>
      </c>
      <c r="BG45" s="112">
        <v>123.5</v>
      </c>
      <c r="BH45" s="113"/>
      <c r="BI45" s="114" t="s">
        <v>27</v>
      </c>
      <c r="BJ45" s="115">
        <v>25.0</v>
      </c>
      <c r="BK45" s="116" t="s">
        <v>111</v>
      </c>
      <c r="BL45" s="117">
        <v>0.0</v>
      </c>
      <c r="BM45" s="118">
        <v>20.9</v>
      </c>
      <c r="BN45" s="119"/>
      <c r="BO45" s="120">
        <v>13167.0</v>
      </c>
      <c r="BP45" s="28">
        <v>0.04</v>
      </c>
      <c r="BQ45" s="43">
        <f t="shared" si="14"/>
        <v>18798.1416</v>
      </c>
      <c r="BR45" s="121">
        <v>46082.0</v>
      </c>
      <c r="BS45" s="122">
        <v>189.0</v>
      </c>
      <c r="BT45" s="20">
        <v>46124.0</v>
      </c>
      <c r="BU45" s="20">
        <v>46187.0</v>
      </c>
      <c r="BV45" s="20">
        <v>0.0</v>
      </c>
      <c r="BW45" s="20">
        <v>0.0</v>
      </c>
      <c r="BX45" s="155">
        <v>46087.0</v>
      </c>
      <c r="BY45" s="156">
        <f t="shared" ref="BY45:BY102" si="139">+ BR45 + BS45</f>
        <v>46271</v>
      </c>
      <c r="BZ45" s="124">
        <v>46087.0</v>
      </c>
      <c r="CA45" s="45">
        <v>55396.0</v>
      </c>
      <c r="CB45" s="125">
        <v>0.7</v>
      </c>
      <c r="CC45" s="125">
        <v>0.2</v>
      </c>
      <c r="CD45" s="125" t="s">
        <v>112</v>
      </c>
      <c r="CE45" s="125" t="s">
        <v>112</v>
      </c>
      <c r="CF45" s="125">
        <v>0.1</v>
      </c>
      <c r="CG45" s="110">
        <f t="shared" ref="CG45:CK45" si="136">+IFERROR( $AV45 * CB45, 0 )</f>
        <v>328967.478</v>
      </c>
      <c r="CH45" s="110">
        <f t="shared" si="136"/>
        <v>93990.708</v>
      </c>
      <c r="CI45" s="110">
        <f t="shared" si="136"/>
        <v>0</v>
      </c>
      <c r="CJ45" s="110">
        <f t="shared" si="136"/>
        <v>0</v>
      </c>
      <c r="CK45" s="110">
        <f t="shared" si="136"/>
        <v>46995.354</v>
      </c>
      <c r="CL45" s="126">
        <f t="shared" si="16"/>
        <v>469953.54</v>
      </c>
      <c r="CM45" s="127">
        <v>49948.0</v>
      </c>
      <c r="CN45" s="128">
        <v>30.0</v>
      </c>
      <c r="CO45" s="129">
        <f t="shared" si="17"/>
        <v>5</v>
      </c>
      <c r="CP45" s="130">
        <v>123.5</v>
      </c>
      <c r="CQ45" s="131">
        <v>0.0</v>
      </c>
      <c r="CR45" s="132">
        <f t="shared" si="18"/>
        <v>123.5</v>
      </c>
      <c r="CS45" s="45">
        <v>57192.0</v>
      </c>
      <c r="CU45" s="8" t="s">
        <v>3</v>
      </c>
    </row>
    <row r="46" ht="13.5" customHeight="1" outlineLevel="1">
      <c r="B46" s="134">
        <v>1.0</v>
      </c>
      <c r="C46" s="88">
        <f t="shared" si="5"/>
        <v>39</v>
      </c>
      <c r="D46" s="87"/>
      <c r="E46" s="89" t="s">
        <v>167</v>
      </c>
      <c r="F46" s="89">
        <v>2.0</v>
      </c>
      <c r="G46" s="90" t="s">
        <v>106</v>
      </c>
      <c r="H46" s="92" t="s">
        <v>168</v>
      </c>
      <c r="I46" s="92" t="s">
        <v>178</v>
      </c>
      <c r="J46" s="93"/>
      <c r="K46" s="43">
        <f t="shared" si="6"/>
        <v>0</v>
      </c>
      <c r="L46" s="92">
        <v>1.0</v>
      </c>
      <c r="M46" s="92" t="s">
        <v>178</v>
      </c>
      <c r="N46" s="94" t="str">
        <f t="shared" si="7"/>
        <v>Eaton | Eaton Iztapalapa</v>
      </c>
      <c r="O46" s="94"/>
      <c r="P46" s="95"/>
      <c r="Q46" s="95"/>
      <c r="R46" s="154">
        <f t="shared" si="112"/>
        <v>0</v>
      </c>
      <c r="S46" s="95">
        <v>0.78</v>
      </c>
      <c r="T46" s="96">
        <f t="shared" si="8"/>
        <v>1398.713513</v>
      </c>
      <c r="U46" s="97">
        <v>1090.99654</v>
      </c>
      <c r="V46" s="98" t="s">
        <v>109</v>
      </c>
      <c r="W46" s="99">
        <v>81015.92</v>
      </c>
      <c r="X46" s="100">
        <v>86364.04</v>
      </c>
      <c r="Y46" s="100">
        <v>106957.49</v>
      </c>
      <c r="Z46" s="100">
        <v>105879.17</v>
      </c>
      <c r="AA46" s="100">
        <v>106797.04</v>
      </c>
      <c r="AB46" s="100">
        <v>93604.42</v>
      </c>
      <c r="AC46" s="100">
        <v>96334.44</v>
      </c>
      <c r="AD46" s="100">
        <v>93379.96</v>
      </c>
      <c r="AE46" s="100">
        <v>80167.91</v>
      </c>
      <c r="AF46" s="100">
        <v>84382.04</v>
      </c>
      <c r="AG46" s="100">
        <v>79900.66</v>
      </c>
      <c r="AH46" s="101">
        <v>76213.45</v>
      </c>
      <c r="AI46" s="102">
        <f t="shared" ref="AI46:AT46" si="137">+ W46 * ( 1 + $AJ$3 )</f>
        <v>81015.92</v>
      </c>
      <c r="AJ46" s="102">
        <f t="shared" si="137"/>
        <v>86364.04</v>
      </c>
      <c r="AK46" s="102">
        <f t="shared" si="137"/>
        <v>106957.49</v>
      </c>
      <c r="AL46" s="102">
        <f t="shared" si="137"/>
        <v>105879.17</v>
      </c>
      <c r="AM46" s="102">
        <f t="shared" si="137"/>
        <v>106797.04</v>
      </c>
      <c r="AN46" s="102">
        <f t="shared" si="137"/>
        <v>93604.42</v>
      </c>
      <c r="AO46" s="102">
        <f t="shared" si="137"/>
        <v>96334.44</v>
      </c>
      <c r="AP46" s="102">
        <f t="shared" si="137"/>
        <v>93379.96</v>
      </c>
      <c r="AQ46" s="102">
        <f t="shared" si="137"/>
        <v>80167.91</v>
      </c>
      <c r="AR46" s="102">
        <f t="shared" si="137"/>
        <v>84382.04</v>
      </c>
      <c r="AS46" s="102">
        <f t="shared" si="137"/>
        <v>79900.66</v>
      </c>
      <c r="AT46" s="102">
        <f t="shared" si="137"/>
        <v>76213.45</v>
      </c>
      <c r="AU46" s="104">
        <v>0.0055</v>
      </c>
      <c r="AV46" s="105">
        <v>607483.21</v>
      </c>
      <c r="AW46" s="106">
        <f t="shared" si="10"/>
        <v>0.7788246282</v>
      </c>
      <c r="AX46" s="90" t="s">
        <v>110</v>
      </c>
      <c r="AY46" s="107">
        <v>0.0</v>
      </c>
      <c r="AZ46" s="108">
        <f t="shared" si="11"/>
        <v>0</v>
      </c>
      <c r="BA46" s="109">
        <f t="shared" si="12"/>
        <v>0.7788246282</v>
      </c>
      <c r="BB46" s="110">
        <f t="shared" ref="BB46:BF46" si="138">+IFERROR( $AZ46 * CB46, 0 )</f>
        <v>0</v>
      </c>
      <c r="BC46" s="110">
        <f t="shared" si="138"/>
        <v>0</v>
      </c>
      <c r="BD46" s="110">
        <f t="shared" si="138"/>
        <v>0</v>
      </c>
      <c r="BE46" s="110">
        <f t="shared" si="138"/>
        <v>0</v>
      </c>
      <c r="BF46" s="111">
        <f t="shared" si="138"/>
        <v>0</v>
      </c>
      <c r="BG46" s="112">
        <v>112.2</v>
      </c>
      <c r="BH46" s="113"/>
      <c r="BI46" s="114" t="s">
        <v>27</v>
      </c>
      <c r="BJ46" s="115">
        <v>25.0</v>
      </c>
      <c r="BK46" s="116" t="s">
        <v>111</v>
      </c>
      <c r="BL46" s="117">
        <v>0.0</v>
      </c>
      <c r="BM46" s="118">
        <v>20.9</v>
      </c>
      <c r="BN46" s="119"/>
      <c r="BO46" s="120">
        <v>16302.0</v>
      </c>
      <c r="BP46" s="28">
        <v>0.04</v>
      </c>
      <c r="BQ46" s="43">
        <f t="shared" si="14"/>
        <v>24299.3284</v>
      </c>
      <c r="BR46" s="121">
        <v>46082.0</v>
      </c>
      <c r="BS46" s="122">
        <v>212.0</v>
      </c>
      <c r="BT46" s="20">
        <v>46129.11111111111</v>
      </c>
      <c r="BU46" s="20">
        <v>46199.77777777778</v>
      </c>
      <c r="BV46" s="20">
        <v>0.0</v>
      </c>
      <c r="BW46" s="20">
        <v>0.0</v>
      </c>
      <c r="BX46" s="155">
        <v>46110.0</v>
      </c>
      <c r="BY46" s="156">
        <f t="shared" si="139"/>
        <v>46294</v>
      </c>
      <c r="BZ46" s="124">
        <v>46113.0</v>
      </c>
      <c r="CA46" s="45">
        <v>55396.0</v>
      </c>
      <c r="CB46" s="125">
        <v>0.7</v>
      </c>
      <c r="CC46" s="125">
        <v>0.2</v>
      </c>
      <c r="CD46" s="125" t="s">
        <v>112</v>
      </c>
      <c r="CE46" s="125" t="s">
        <v>112</v>
      </c>
      <c r="CF46" s="125">
        <v>0.1</v>
      </c>
      <c r="CG46" s="110">
        <f t="shared" ref="CG46:CK46" si="140">+IFERROR( $AV46 * CB46, 0 )</f>
        <v>425238.247</v>
      </c>
      <c r="CH46" s="110">
        <f t="shared" si="140"/>
        <v>121496.642</v>
      </c>
      <c r="CI46" s="110">
        <f t="shared" si="140"/>
        <v>0</v>
      </c>
      <c r="CJ46" s="110">
        <f t="shared" si="140"/>
        <v>0</v>
      </c>
      <c r="CK46" s="110">
        <f t="shared" si="140"/>
        <v>60748.321</v>
      </c>
      <c r="CL46" s="126">
        <f t="shared" si="16"/>
        <v>607483.21</v>
      </c>
      <c r="CM46" s="127">
        <v>49948.0</v>
      </c>
      <c r="CN46" s="128">
        <v>30.0</v>
      </c>
      <c r="CO46" s="129">
        <f t="shared" si="17"/>
        <v>5</v>
      </c>
      <c r="CP46" s="130">
        <v>112.2</v>
      </c>
      <c r="CQ46" s="131">
        <v>0.0</v>
      </c>
      <c r="CR46" s="132">
        <f t="shared" si="18"/>
        <v>112.2</v>
      </c>
      <c r="CS46" s="45">
        <v>57192.0</v>
      </c>
      <c r="CU46" s="8" t="s">
        <v>3</v>
      </c>
    </row>
    <row r="47" ht="13.5" customHeight="1" outlineLevel="1">
      <c r="B47" s="134">
        <v>1.0</v>
      </c>
      <c r="C47" s="88">
        <f t="shared" si="5"/>
        <v>40</v>
      </c>
      <c r="D47" s="87"/>
      <c r="E47" s="89" t="s">
        <v>167</v>
      </c>
      <c r="F47" s="89">
        <v>2.0</v>
      </c>
      <c r="G47" s="90" t="s">
        <v>106</v>
      </c>
      <c r="H47" s="92" t="s">
        <v>168</v>
      </c>
      <c r="I47" s="92" t="s">
        <v>179</v>
      </c>
      <c r="J47" s="93"/>
      <c r="K47" s="43">
        <f t="shared" si="6"/>
        <v>0</v>
      </c>
      <c r="L47" s="92">
        <v>1.0</v>
      </c>
      <c r="M47" s="92" t="s">
        <v>179</v>
      </c>
      <c r="N47" s="94" t="str">
        <f t="shared" si="7"/>
        <v>Eaton | Eaton Juarez CPA</v>
      </c>
      <c r="O47" s="94"/>
      <c r="P47" s="95"/>
      <c r="Q47" s="95"/>
      <c r="R47" s="154">
        <f t="shared" si="112"/>
        <v>0</v>
      </c>
      <c r="S47" s="95">
        <v>0.845</v>
      </c>
      <c r="T47" s="96">
        <f t="shared" si="8"/>
        <v>1522.341598</v>
      </c>
      <c r="U47" s="97">
        <v>1286.37865</v>
      </c>
      <c r="V47" s="98" t="s">
        <v>109</v>
      </c>
      <c r="W47" s="99">
        <v>72764.64</v>
      </c>
      <c r="X47" s="100">
        <v>78063.8</v>
      </c>
      <c r="Y47" s="100">
        <v>114624.08</v>
      </c>
      <c r="Z47" s="100">
        <v>131885.91</v>
      </c>
      <c r="AA47" s="100">
        <v>148950.01</v>
      </c>
      <c r="AB47" s="100">
        <v>146320.2</v>
      </c>
      <c r="AC47" s="100">
        <v>137712.35</v>
      </c>
      <c r="AD47" s="100">
        <v>123818.53</v>
      </c>
      <c r="AE47" s="100">
        <v>104401.44</v>
      </c>
      <c r="AF47" s="100">
        <v>91331.49</v>
      </c>
      <c r="AG47" s="100">
        <v>72962.37</v>
      </c>
      <c r="AH47" s="101">
        <v>63543.83</v>
      </c>
      <c r="AI47" s="102">
        <f t="shared" ref="AI47:AT47" si="141">+ W47 * ( 1 + $AJ$3 )</f>
        <v>72764.64</v>
      </c>
      <c r="AJ47" s="102">
        <f t="shared" si="141"/>
        <v>78063.8</v>
      </c>
      <c r="AK47" s="102">
        <f t="shared" si="141"/>
        <v>114624.08</v>
      </c>
      <c r="AL47" s="102">
        <f t="shared" si="141"/>
        <v>131885.91</v>
      </c>
      <c r="AM47" s="102">
        <f t="shared" si="141"/>
        <v>148950.01</v>
      </c>
      <c r="AN47" s="102">
        <f t="shared" si="141"/>
        <v>146320.2</v>
      </c>
      <c r="AO47" s="102">
        <f t="shared" si="141"/>
        <v>137712.35</v>
      </c>
      <c r="AP47" s="102">
        <f t="shared" si="141"/>
        <v>123818.53</v>
      </c>
      <c r="AQ47" s="102">
        <f t="shared" si="141"/>
        <v>104401.44</v>
      </c>
      <c r="AR47" s="102">
        <f t="shared" si="141"/>
        <v>91331.49</v>
      </c>
      <c r="AS47" s="102">
        <f t="shared" si="141"/>
        <v>72962.37</v>
      </c>
      <c r="AT47" s="102">
        <f t="shared" si="141"/>
        <v>63543.83</v>
      </c>
      <c r="AU47" s="104">
        <v>0.0055</v>
      </c>
      <c r="AV47" s="105">
        <v>846733.83</v>
      </c>
      <c r="AW47" s="106">
        <f t="shared" si="10"/>
        <v>1.00205187</v>
      </c>
      <c r="AX47" s="90" t="s">
        <v>110</v>
      </c>
      <c r="AY47" s="107">
        <v>0.0</v>
      </c>
      <c r="AZ47" s="108">
        <f t="shared" si="11"/>
        <v>0</v>
      </c>
      <c r="BA47" s="109">
        <f t="shared" si="12"/>
        <v>1.00205187</v>
      </c>
      <c r="BB47" s="110">
        <f t="shared" ref="BB47:BF47" si="142">+IFERROR( $AZ47 * CB47, 0 )</f>
        <v>0</v>
      </c>
      <c r="BC47" s="110">
        <f t="shared" si="142"/>
        <v>0</v>
      </c>
      <c r="BD47" s="110">
        <f t="shared" si="142"/>
        <v>0</v>
      </c>
      <c r="BE47" s="110">
        <f t="shared" si="142"/>
        <v>0</v>
      </c>
      <c r="BF47" s="111">
        <f t="shared" si="142"/>
        <v>0</v>
      </c>
      <c r="BG47" s="112">
        <v>127.6</v>
      </c>
      <c r="BH47" s="113"/>
      <c r="BI47" s="114" t="s">
        <v>27</v>
      </c>
      <c r="BJ47" s="115">
        <v>25.0</v>
      </c>
      <c r="BK47" s="116" t="s">
        <v>111</v>
      </c>
      <c r="BL47" s="117">
        <v>0.0</v>
      </c>
      <c r="BM47" s="118">
        <v>20.9</v>
      </c>
      <c r="BN47" s="119"/>
      <c r="BO47" s="120">
        <v>17660.5</v>
      </c>
      <c r="BP47" s="28">
        <v>0.04</v>
      </c>
      <c r="BQ47" s="43">
        <f t="shared" si="14"/>
        <v>33869.3532</v>
      </c>
      <c r="BR47" s="121">
        <v>46082.0</v>
      </c>
      <c r="BS47" s="122">
        <v>212.0</v>
      </c>
      <c r="BT47" s="20">
        <v>46129.11111111111</v>
      </c>
      <c r="BU47" s="20">
        <v>46199.77777777778</v>
      </c>
      <c r="BV47" s="20">
        <v>0.0</v>
      </c>
      <c r="BW47" s="20">
        <v>0.0</v>
      </c>
      <c r="BX47" s="155">
        <v>46110.0</v>
      </c>
      <c r="BY47" s="156">
        <f t="shared" si="139"/>
        <v>46294</v>
      </c>
      <c r="BZ47" s="124">
        <v>46113.0</v>
      </c>
      <c r="CA47" s="45">
        <v>55396.0</v>
      </c>
      <c r="CB47" s="125">
        <v>0.7</v>
      </c>
      <c r="CC47" s="125">
        <v>0.2</v>
      </c>
      <c r="CD47" s="125" t="s">
        <v>112</v>
      </c>
      <c r="CE47" s="125" t="s">
        <v>112</v>
      </c>
      <c r="CF47" s="125">
        <v>0.1</v>
      </c>
      <c r="CG47" s="110">
        <f t="shared" ref="CG47:CK47" si="143">+IFERROR( $AV47 * CB47, 0 )</f>
        <v>592713.681</v>
      </c>
      <c r="CH47" s="110">
        <f t="shared" si="143"/>
        <v>169346.766</v>
      </c>
      <c r="CI47" s="110">
        <f t="shared" si="143"/>
        <v>0</v>
      </c>
      <c r="CJ47" s="110">
        <f t="shared" si="143"/>
        <v>0</v>
      </c>
      <c r="CK47" s="110">
        <f t="shared" si="143"/>
        <v>84673.383</v>
      </c>
      <c r="CL47" s="126">
        <f t="shared" si="16"/>
        <v>846733.83</v>
      </c>
      <c r="CM47" s="127">
        <v>49948.0</v>
      </c>
      <c r="CN47" s="128">
        <v>30.0</v>
      </c>
      <c r="CO47" s="129">
        <f t="shared" si="17"/>
        <v>5</v>
      </c>
      <c r="CP47" s="130">
        <v>127.6</v>
      </c>
      <c r="CQ47" s="131">
        <v>0.0</v>
      </c>
      <c r="CR47" s="132">
        <f t="shared" si="18"/>
        <v>127.6</v>
      </c>
      <c r="CS47" s="45">
        <v>57192.0</v>
      </c>
      <c r="CU47" s="8" t="s">
        <v>3</v>
      </c>
    </row>
    <row r="48" ht="13.5" customHeight="1" outlineLevel="1">
      <c r="B48" s="134">
        <v>1.0</v>
      </c>
      <c r="C48" s="88">
        <f t="shared" si="5"/>
        <v>41</v>
      </c>
      <c r="D48" s="87"/>
      <c r="E48" s="89" t="s">
        <v>167</v>
      </c>
      <c r="F48" s="89">
        <v>2.0</v>
      </c>
      <c r="G48" s="90" t="s">
        <v>106</v>
      </c>
      <c r="H48" s="92" t="s">
        <v>168</v>
      </c>
      <c r="I48" s="92" t="s">
        <v>180</v>
      </c>
      <c r="J48" s="93"/>
      <c r="K48" s="43">
        <f t="shared" si="6"/>
        <v>0</v>
      </c>
      <c r="L48" s="92">
        <v>1.0</v>
      </c>
      <c r="M48" s="92" t="s">
        <v>180</v>
      </c>
      <c r="N48" s="94" t="str">
        <f t="shared" si="7"/>
        <v>Eaton | Market Power Tijuana</v>
      </c>
      <c r="O48" s="94"/>
      <c r="P48" s="95"/>
      <c r="Q48" s="95"/>
      <c r="R48" s="154">
        <f t="shared" si="112"/>
        <v>0</v>
      </c>
      <c r="S48" s="95">
        <v>0.44</v>
      </c>
      <c r="T48" s="96">
        <f t="shared" si="8"/>
        <v>1422.520705</v>
      </c>
      <c r="U48" s="97">
        <v>625.9091099999999</v>
      </c>
      <c r="V48" s="98" t="s">
        <v>109</v>
      </c>
      <c r="W48" s="99">
        <v>34417.34</v>
      </c>
      <c r="X48" s="100">
        <v>37288.61</v>
      </c>
      <c r="Y48" s="100">
        <v>54692.68</v>
      </c>
      <c r="Z48" s="100">
        <v>59335.73</v>
      </c>
      <c r="AA48" s="100">
        <v>69036.72</v>
      </c>
      <c r="AB48" s="100">
        <v>66845.79</v>
      </c>
      <c r="AC48" s="100">
        <v>71452.31</v>
      </c>
      <c r="AD48" s="100">
        <v>66312.72</v>
      </c>
      <c r="AE48" s="100">
        <v>55963.11</v>
      </c>
      <c r="AF48" s="100">
        <v>44568.46</v>
      </c>
      <c r="AG48" s="100">
        <v>34871.87</v>
      </c>
      <c r="AH48" s="101">
        <v>31123.77</v>
      </c>
      <c r="AI48" s="102">
        <f t="shared" ref="AI48:AT48" si="144">+ W48 * ( 1 + $AJ$3 )</f>
        <v>34417.34</v>
      </c>
      <c r="AJ48" s="102">
        <f t="shared" si="144"/>
        <v>37288.61</v>
      </c>
      <c r="AK48" s="102">
        <f t="shared" si="144"/>
        <v>54692.68</v>
      </c>
      <c r="AL48" s="102">
        <f t="shared" si="144"/>
        <v>59335.73</v>
      </c>
      <c r="AM48" s="102">
        <f t="shared" si="144"/>
        <v>69036.72</v>
      </c>
      <c r="AN48" s="102">
        <f t="shared" si="144"/>
        <v>66845.79</v>
      </c>
      <c r="AO48" s="102">
        <f t="shared" si="144"/>
        <v>71452.31</v>
      </c>
      <c r="AP48" s="102">
        <f t="shared" si="144"/>
        <v>66312.72</v>
      </c>
      <c r="AQ48" s="102">
        <f t="shared" si="144"/>
        <v>55963.11</v>
      </c>
      <c r="AR48" s="102">
        <f t="shared" si="144"/>
        <v>44568.46</v>
      </c>
      <c r="AS48" s="102">
        <f t="shared" si="144"/>
        <v>34871.87</v>
      </c>
      <c r="AT48" s="102">
        <f t="shared" si="144"/>
        <v>31123.77</v>
      </c>
      <c r="AU48" s="104">
        <v>0.0055</v>
      </c>
      <c r="AV48" s="105">
        <v>341505.74</v>
      </c>
      <c r="AW48" s="106">
        <f t="shared" si="10"/>
        <v>0.7761494091</v>
      </c>
      <c r="AX48" s="90" t="s">
        <v>110</v>
      </c>
      <c r="AY48" s="107">
        <v>0.0</v>
      </c>
      <c r="AZ48" s="108">
        <f t="shared" si="11"/>
        <v>0</v>
      </c>
      <c r="BA48" s="109">
        <f t="shared" si="12"/>
        <v>0.7761494091</v>
      </c>
      <c r="BB48" s="110">
        <f t="shared" ref="BB48:BF48" si="145">+IFERROR( $AZ48 * CB48, 0 )</f>
        <v>0</v>
      </c>
      <c r="BC48" s="110">
        <f t="shared" si="145"/>
        <v>0</v>
      </c>
      <c r="BD48" s="110">
        <f t="shared" si="145"/>
        <v>0</v>
      </c>
      <c r="BE48" s="110">
        <f t="shared" si="145"/>
        <v>0</v>
      </c>
      <c r="BF48" s="111">
        <f t="shared" si="145"/>
        <v>0</v>
      </c>
      <c r="BG48" s="112">
        <v>112.8</v>
      </c>
      <c r="BH48" s="113"/>
      <c r="BI48" s="114" t="s">
        <v>27</v>
      </c>
      <c r="BJ48" s="115">
        <v>25.0</v>
      </c>
      <c r="BK48" s="116" t="s">
        <v>111</v>
      </c>
      <c r="BL48" s="117">
        <v>0.0</v>
      </c>
      <c r="BM48" s="118">
        <v>20.9</v>
      </c>
      <c r="BN48" s="119"/>
      <c r="BO48" s="120">
        <v>9196.0</v>
      </c>
      <c r="BP48" s="28">
        <v>0.04</v>
      </c>
      <c r="BQ48" s="43">
        <f t="shared" si="14"/>
        <v>13660.2296</v>
      </c>
      <c r="BR48" s="121">
        <v>46113.0</v>
      </c>
      <c r="BS48" s="122">
        <v>140.0</v>
      </c>
      <c r="BT48" s="20">
        <v>46144.11111111111</v>
      </c>
      <c r="BU48" s="20">
        <v>46190.77777777778</v>
      </c>
      <c r="BV48" s="20">
        <v>0.0</v>
      </c>
      <c r="BW48" s="20">
        <v>0.0</v>
      </c>
      <c r="BX48" s="155">
        <v>46072.0</v>
      </c>
      <c r="BY48" s="156">
        <f t="shared" si="139"/>
        <v>46253</v>
      </c>
      <c r="BZ48" s="124">
        <v>46082.0</v>
      </c>
      <c r="CA48" s="45">
        <v>55365.0</v>
      </c>
      <c r="CB48" s="125">
        <v>0.7</v>
      </c>
      <c r="CC48" s="125">
        <v>0.2</v>
      </c>
      <c r="CD48" s="125" t="s">
        <v>112</v>
      </c>
      <c r="CE48" s="125" t="s">
        <v>112</v>
      </c>
      <c r="CF48" s="125">
        <v>0.1</v>
      </c>
      <c r="CG48" s="110">
        <f t="shared" ref="CG48:CK48" si="146">+IFERROR( $AV48 * CB48, 0 )</f>
        <v>239054.018</v>
      </c>
      <c r="CH48" s="110">
        <f t="shared" si="146"/>
        <v>68301.148</v>
      </c>
      <c r="CI48" s="110">
        <f t="shared" si="146"/>
        <v>0</v>
      </c>
      <c r="CJ48" s="110">
        <f t="shared" si="146"/>
        <v>0</v>
      </c>
      <c r="CK48" s="110">
        <f t="shared" si="146"/>
        <v>34150.574</v>
      </c>
      <c r="CL48" s="126">
        <f t="shared" si="16"/>
        <v>341505.74</v>
      </c>
      <c r="CM48" s="127">
        <v>49918.0</v>
      </c>
      <c r="CN48" s="128">
        <v>30.0</v>
      </c>
      <c r="CO48" s="129">
        <f t="shared" si="17"/>
        <v>5</v>
      </c>
      <c r="CP48" s="130">
        <v>112.8</v>
      </c>
      <c r="CQ48" s="131">
        <v>0.0</v>
      </c>
      <c r="CR48" s="132">
        <f t="shared" si="18"/>
        <v>112.8</v>
      </c>
      <c r="CS48" s="45">
        <v>57161.0</v>
      </c>
      <c r="CU48" s="8" t="s">
        <v>3</v>
      </c>
    </row>
    <row r="49" ht="13.5" customHeight="1" outlineLevel="1">
      <c r="B49" s="134">
        <v>1.0</v>
      </c>
      <c r="C49" s="88">
        <f t="shared" si="5"/>
        <v>42</v>
      </c>
      <c r="D49" s="87"/>
      <c r="E49" s="89" t="s">
        <v>167</v>
      </c>
      <c r="F49" s="89">
        <v>2.0</v>
      </c>
      <c r="G49" s="90" t="s">
        <v>106</v>
      </c>
      <c r="H49" s="92" t="s">
        <v>168</v>
      </c>
      <c r="I49" s="92" t="s">
        <v>181</v>
      </c>
      <c r="J49" s="93"/>
      <c r="K49" s="43">
        <f t="shared" si="6"/>
        <v>0</v>
      </c>
      <c r="L49" s="92">
        <v>1.0</v>
      </c>
      <c r="M49" s="92" t="s">
        <v>181</v>
      </c>
      <c r="N49" s="94" t="str">
        <f t="shared" si="7"/>
        <v>Eaton | Market Souriau Tijuana</v>
      </c>
      <c r="O49" s="94"/>
      <c r="P49" s="95"/>
      <c r="Q49" s="95"/>
      <c r="R49" s="154">
        <f t="shared" si="112"/>
        <v>0</v>
      </c>
      <c r="S49" s="95">
        <v>0.44</v>
      </c>
      <c r="T49" s="96">
        <f t="shared" si="8"/>
        <v>1425.7405</v>
      </c>
      <c r="U49" s="97">
        <v>627.32582</v>
      </c>
      <c r="V49" s="98" t="s">
        <v>109</v>
      </c>
      <c r="W49" s="99">
        <v>34022.45</v>
      </c>
      <c r="X49" s="100">
        <v>37239.61</v>
      </c>
      <c r="Y49" s="100">
        <v>54436.12</v>
      </c>
      <c r="Z49" s="100">
        <v>60038.24</v>
      </c>
      <c r="AA49" s="100">
        <v>69678.23</v>
      </c>
      <c r="AB49" s="100">
        <v>67760.72</v>
      </c>
      <c r="AC49" s="100">
        <v>71545.49</v>
      </c>
      <c r="AD49" s="100">
        <v>66627.08</v>
      </c>
      <c r="AE49" s="100">
        <v>56180.13</v>
      </c>
      <c r="AF49" s="100">
        <v>44295.1</v>
      </c>
      <c r="AG49" s="100">
        <v>34650.87</v>
      </c>
      <c r="AH49" s="101">
        <v>30851.78</v>
      </c>
      <c r="AI49" s="102">
        <f t="shared" ref="AI49:AT49" si="147">+ W49 * ( 1 + $AJ$3 )</f>
        <v>34022.45</v>
      </c>
      <c r="AJ49" s="102">
        <f t="shared" si="147"/>
        <v>37239.61</v>
      </c>
      <c r="AK49" s="102">
        <f t="shared" si="147"/>
        <v>54436.12</v>
      </c>
      <c r="AL49" s="102">
        <f t="shared" si="147"/>
        <v>60038.24</v>
      </c>
      <c r="AM49" s="102">
        <f t="shared" si="147"/>
        <v>69678.23</v>
      </c>
      <c r="AN49" s="102">
        <f t="shared" si="147"/>
        <v>67760.72</v>
      </c>
      <c r="AO49" s="102">
        <f t="shared" si="147"/>
        <v>71545.49</v>
      </c>
      <c r="AP49" s="102">
        <f t="shared" si="147"/>
        <v>66627.08</v>
      </c>
      <c r="AQ49" s="102">
        <f t="shared" si="147"/>
        <v>56180.13</v>
      </c>
      <c r="AR49" s="102">
        <f t="shared" si="147"/>
        <v>44295.1</v>
      </c>
      <c r="AS49" s="102">
        <f t="shared" si="147"/>
        <v>34650.87</v>
      </c>
      <c r="AT49" s="102">
        <f t="shared" si="147"/>
        <v>30851.78</v>
      </c>
      <c r="AU49" s="104">
        <v>0.0055</v>
      </c>
      <c r="AV49" s="105">
        <v>328783.05</v>
      </c>
      <c r="AW49" s="106">
        <f t="shared" si="10"/>
        <v>0.7472342045</v>
      </c>
      <c r="AX49" s="90" t="s">
        <v>110</v>
      </c>
      <c r="AY49" s="107">
        <v>0.0</v>
      </c>
      <c r="AZ49" s="108">
        <f t="shared" si="11"/>
        <v>0</v>
      </c>
      <c r="BA49" s="109">
        <f t="shared" si="12"/>
        <v>0.7472342045</v>
      </c>
      <c r="BB49" s="110">
        <f t="shared" ref="BB49:BF49" si="148">+IFERROR( $AZ49 * CB49, 0 )</f>
        <v>0</v>
      </c>
      <c r="BC49" s="110">
        <f t="shared" si="148"/>
        <v>0</v>
      </c>
      <c r="BD49" s="110">
        <f t="shared" si="148"/>
        <v>0</v>
      </c>
      <c r="BE49" s="110">
        <f t="shared" si="148"/>
        <v>0</v>
      </c>
      <c r="BF49" s="111">
        <f t="shared" si="148"/>
        <v>0</v>
      </c>
      <c r="BG49" s="112">
        <v>109.9</v>
      </c>
      <c r="BH49" s="113"/>
      <c r="BI49" s="114" t="s">
        <v>27</v>
      </c>
      <c r="BJ49" s="115">
        <v>25.0</v>
      </c>
      <c r="BK49" s="116" t="s">
        <v>111</v>
      </c>
      <c r="BL49" s="117">
        <v>0.0</v>
      </c>
      <c r="BM49" s="118">
        <v>20.9</v>
      </c>
      <c r="BN49" s="119"/>
      <c r="BO49" s="120">
        <v>9196.0</v>
      </c>
      <c r="BP49" s="28">
        <v>0.04</v>
      </c>
      <c r="BQ49" s="43">
        <f t="shared" si="14"/>
        <v>13151.322</v>
      </c>
      <c r="BR49" s="121">
        <v>46113.0</v>
      </c>
      <c r="BS49" s="122">
        <v>140.0</v>
      </c>
      <c r="BT49" s="20">
        <v>46144.11111111111</v>
      </c>
      <c r="BU49" s="20">
        <v>46190.77777777778</v>
      </c>
      <c r="BV49" s="20">
        <v>0.0</v>
      </c>
      <c r="BW49" s="20">
        <v>0.0</v>
      </c>
      <c r="BX49" s="155">
        <v>46072.0</v>
      </c>
      <c r="BY49" s="156">
        <f t="shared" si="139"/>
        <v>46253</v>
      </c>
      <c r="BZ49" s="124">
        <v>46082.0</v>
      </c>
      <c r="CA49" s="45">
        <v>55365.0</v>
      </c>
      <c r="CB49" s="125">
        <v>0.7</v>
      </c>
      <c r="CC49" s="125">
        <v>0.2</v>
      </c>
      <c r="CD49" s="125" t="s">
        <v>112</v>
      </c>
      <c r="CE49" s="125" t="s">
        <v>112</v>
      </c>
      <c r="CF49" s="125">
        <v>0.1</v>
      </c>
      <c r="CG49" s="110">
        <f t="shared" ref="CG49:CK49" si="149">+IFERROR( $AV49 * CB49, 0 )</f>
        <v>230148.135</v>
      </c>
      <c r="CH49" s="110">
        <f t="shared" si="149"/>
        <v>65756.61</v>
      </c>
      <c r="CI49" s="110">
        <f t="shared" si="149"/>
        <v>0</v>
      </c>
      <c r="CJ49" s="110">
        <f t="shared" si="149"/>
        <v>0</v>
      </c>
      <c r="CK49" s="110">
        <f t="shared" si="149"/>
        <v>32878.305</v>
      </c>
      <c r="CL49" s="126">
        <f t="shared" si="16"/>
        <v>328783.05</v>
      </c>
      <c r="CM49" s="127">
        <v>49918.0</v>
      </c>
      <c r="CN49" s="128">
        <v>30.0</v>
      </c>
      <c r="CO49" s="129">
        <f t="shared" si="17"/>
        <v>5</v>
      </c>
      <c r="CP49" s="130">
        <v>109.9</v>
      </c>
      <c r="CQ49" s="131">
        <v>0.0</v>
      </c>
      <c r="CR49" s="132">
        <f t="shared" si="18"/>
        <v>109.9</v>
      </c>
      <c r="CS49" s="45">
        <v>57161.0</v>
      </c>
      <c r="CU49" s="8" t="s">
        <v>3</v>
      </c>
    </row>
    <row r="50" ht="13.5" customHeight="1" outlineLevel="1">
      <c r="B50" s="134">
        <v>1.0</v>
      </c>
      <c r="C50" s="88">
        <f t="shared" si="5"/>
        <v>43</v>
      </c>
      <c r="D50" s="87"/>
      <c r="E50" s="89" t="s">
        <v>167</v>
      </c>
      <c r="F50" s="89">
        <v>2.0</v>
      </c>
      <c r="G50" s="90" t="s">
        <v>106</v>
      </c>
      <c r="H50" s="92" t="s">
        <v>168</v>
      </c>
      <c r="I50" s="92" t="s">
        <v>182</v>
      </c>
      <c r="J50" s="93"/>
      <c r="K50" s="43">
        <f t="shared" si="6"/>
        <v>0</v>
      </c>
      <c r="L50" s="92">
        <v>1.0</v>
      </c>
      <c r="M50" s="92" t="s">
        <v>182</v>
      </c>
      <c r="N50" s="94" t="str">
        <f t="shared" si="7"/>
        <v>Eaton | Martek power reynosa</v>
      </c>
      <c r="O50" s="94"/>
      <c r="P50" s="95"/>
      <c r="Q50" s="95"/>
      <c r="R50" s="154">
        <f t="shared" si="112"/>
        <v>0</v>
      </c>
      <c r="S50" s="95">
        <v>0.845</v>
      </c>
      <c r="T50" s="96">
        <f t="shared" si="8"/>
        <v>1313.837124</v>
      </c>
      <c r="U50" s="97">
        <v>1110.19237</v>
      </c>
      <c r="V50" s="98" t="s">
        <v>109</v>
      </c>
      <c r="W50" s="99">
        <v>59248.03</v>
      </c>
      <c r="X50" s="100">
        <v>64317.38</v>
      </c>
      <c r="Y50" s="100">
        <v>91210.24</v>
      </c>
      <c r="Z50" s="100">
        <v>101161.49</v>
      </c>
      <c r="AA50" s="100">
        <v>119346.17</v>
      </c>
      <c r="AB50" s="100">
        <v>122669.05</v>
      </c>
      <c r="AC50" s="100">
        <v>125769.23</v>
      </c>
      <c r="AD50" s="100">
        <v>119312.45</v>
      </c>
      <c r="AE50" s="100">
        <v>97603.3</v>
      </c>
      <c r="AF50" s="100">
        <v>87978.21</v>
      </c>
      <c r="AG50" s="100">
        <v>67403.3</v>
      </c>
      <c r="AH50" s="101">
        <v>54173.52</v>
      </c>
      <c r="AI50" s="102">
        <f t="shared" ref="AI50:AT50" si="150">+ W50 * ( 1 + $AJ$3 )</f>
        <v>59248.03</v>
      </c>
      <c r="AJ50" s="102">
        <f t="shared" si="150"/>
        <v>64317.38</v>
      </c>
      <c r="AK50" s="102">
        <f t="shared" si="150"/>
        <v>91210.24</v>
      </c>
      <c r="AL50" s="102">
        <f t="shared" si="150"/>
        <v>101161.49</v>
      </c>
      <c r="AM50" s="102">
        <f t="shared" si="150"/>
        <v>119346.17</v>
      </c>
      <c r="AN50" s="102">
        <f t="shared" si="150"/>
        <v>122669.05</v>
      </c>
      <c r="AO50" s="102">
        <f t="shared" si="150"/>
        <v>125769.23</v>
      </c>
      <c r="AP50" s="102">
        <f t="shared" si="150"/>
        <v>119312.45</v>
      </c>
      <c r="AQ50" s="102">
        <f t="shared" si="150"/>
        <v>97603.3</v>
      </c>
      <c r="AR50" s="102">
        <f t="shared" si="150"/>
        <v>87978.21</v>
      </c>
      <c r="AS50" s="102">
        <f t="shared" si="150"/>
        <v>67403.3</v>
      </c>
      <c r="AT50" s="102">
        <f t="shared" si="150"/>
        <v>54173.52</v>
      </c>
      <c r="AU50" s="104">
        <v>0.0055</v>
      </c>
      <c r="AV50" s="105">
        <v>641742.26</v>
      </c>
      <c r="AW50" s="106">
        <f t="shared" si="10"/>
        <v>0.7594582959</v>
      </c>
      <c r="AX50" s="90" t="s">
        <v>110</v>
      </c>
      <c r="AY50" s="107">
        <v>0.0</v>
      </c>
      <c r="AZ50" s="108">
        <f t="shared" si="11"/>
        <v>0</v>
      </c>
      <c r="BA50" s="109">
        <f t="shared" si="12"/>
        <v>0.7594582959</v>
      </c>
      <c r="BB50" s="110">
        <f t="shared" ref="BB50:BF50" si="151">+IFERROR( $AZ50 * CB50, 0 )</f>
        <v>0</v>
      </c>
      <c r="BC50" s="110">
        <f t="shared" si="151"/>
        <v>0</v>
      </c>
      <c r="BD50" s="110">
        <f t="shared" si="151"/>
        <v>0</v>
      </c>
      <c r="BE50" s="110">
        <f t="shared" si="151"/>
        <v>0</v>
      </c>
      <c r="BF50" s="111">
        <f t="shared" si="151"/>
        <v>0</v>
      </c>
      <c r="BG50" s="112">
        <v>116.7</v>
      </c>
      <c r="BH50" s="113"/>
      <c r="BI50" s="114" t="s">
        <v>27</v>
      </c>
      <c r="BJ50" s="115">
        <v>25.0</v>
      </c>
      <c r="BK50" s="116" t="s">
        <v>111</v>
      </c>
      <c r="BL50" s="117">
        <v>0.0</v>
      </c>
      <c r="BM50" s="118">
        <v>20.9</v>
      </c>
      <c r="BN50" s="119"/>
      <c r="BO50" s="120">
        <v>17660.5</v>
      </c>
      <c r="BP50" s="28">
        <v>0.04</v>
      </c>
      <c r="BQ50" s="43">
        <f t="shared" si="14"/>
        <v>25669.6904</v>
      </c>
      <c r="BR50" s="121">
        <v>46113.0</v>
      </c>
      <c r="BS50" s="122">
        <v>140.0</v>
      </c>
      <c r="BT50" s="20">
        <v>46144.11111111111</v>
      </c>
      <c r="BU50" s="20">
        <v>46190.77777777778</v>
      </c>
      <c r="BV50" s="20">
        <v>0.0</v>
      </c>
      <c r="BW50" s="20">
        <v>0.0</v>
      </c>
      <c r="BX50" s="155">
        <v>46072.0</v>
      </c>
      <c r="BY50" s="156">
        <f t="shared" si="139"/>
        <v>46253</v>
      </c>
      <c r="BZ50" s="124">
        <v>46082.0</v>
      </c>
      <c r="CA50" s="45">
        <v>55365.0</v>
      </c>
      <c r="CB50" s="125">
        <v>0.7</v>
      </c>
      <c r="CC50" s="125">
        <v>0.2</v>
      </c>
      <c r="CD50" s="125" t="s">
        <v>112</v>
      </c>
      <c r="CE50" s="125" t="s">
        <v>112</v>
      </c>
      <c r="CF50" s="125">
        <v>0.1</v>
      </c>
      <c r="CG50" s="110">
        <f t="shared" ref="CG50:CK50" si="152">+IFERROR( $AV50 * CB50, 0 )</f>
        <v>449219.582</v>
      </c>
      <c r="CH50" s="110">
        <f t="shared" si="152"/>
        <v>128348.452</v>
      </c>
      <c r="CI50" s="110">
        <f t="shared" si="152"/>
        <v>0</v>
      </c>
      <c r="CJ50" s="110">
        <f t="shared" si="152"/>
        <v>0</v>
      </c>
      <c r="CK50" s="110">
        <f t="shared" si="152"/>
        <v>64174.226</v>
      </c>
      <c r="CL50" s="126">
        <f t="shared" si="16"/>
        <v>641742.26</v>
      </c>
      <c r="CM50" s="127">
        <v>49918.0</v>
      </c>
      <c r="CN50" s="128">
        <v>30.0</v>
      </c>
      <c r="CO50" s="129">
        <f t="shared" si="17"/>
        <v>5</v>
      </c>
      <c r="CP50" s="130">
        <v>116.7</v>
      </c>
      <c r="CQ50" s="131">
        <v>0.0</v>
      </c>
      <c r="CR50" s="132">
        <f t="shared" si="18"/>
        <v>116.7</v>
      </c>
      <c r="CS50" s="45">
        <v>57161.0</v>
      </c>
      <c r="CU50" s="8" t="s">
        <v>3</v>
      </c>
    </row>
    <row r="51" ht="13.5" customHeight="1" outlineLevel="1">
      <c r="B51" s="134">
        <v>1.0</v>
      </c>
      <c r="C51" s="88">
        <f t="shared" si="5"/>
        <v>44</v>
      </c>
      <c r="D51" s="87"/>
      <c r="E51" s="89" t="s">
        <v>167</v>
      </c>
      <c r="F51" s="89">
        <v>2.0</v>
      </c>
      <c r="G51" s="90" t="s">
        <v>106</v>
      </c>
      <c r="H51" s="92" t="s">
        <v>168</v>
      </c>
      <c r="I51" s="92" t="s">
        <v>183</v>
      </c>
      <c r="J51" s="93"/>
      <c r="K51" s="43">
        <f t="shared" si="6"/>
        <v>0</v>
      </c>
      <c r="L51" s="92">
        <v>1.0</v>
      </c>
      <c r="M51" s="92" t="s">
        <v>183</v>
      </c>
      <c r="N51" s="94" t="str">
        <f t="shared" si="7"/>
        <v>Eaton | Aguascalientes</v>
      </c>
      <c r="O51" s="94"/>
      <c r="P51" s="95"/>
      <c r="Q51" s="95"/>
      <c r="R51" s="154">
        <f t="shared" si="112"/>
        <v>0</v>
      </c>
      <c r="S51" s="95">
        <v>0.845</v>
      </c>
      <c r="T51" s="96">
        <f t="shared" si="8"/>
        <v>1579.569479</v>
      </c>
      <c r="U51" s="97">
        <v>1334.73621</v>
      </c>
      <c r="V51" s="98" t="s">
        <v>109</v>
      </c>
      <c r="W51" s="99">
        <v>89178.34</v>
      </c>
      <c r="X51" s="100">
        <v>99501.09</v>
      </c>
      <c r="Y51" s="100">
        <v>131344.53</v>
      </c>
      <c r="Z51" s="100">
        <v>130414.54</v>
      </c>
      <c r="AA51" s="100">
        <v>135343.68</v>
      </c>
      <c r="AB51" s="100">
        <v>122095.98</v>
      </c>
      <c r="AC51" s="100">
        <v>121988.41</v>
      </c>
      <c r="AD51" s="100">
        <v>118936.5</v>
      </c>
      <c r="AE51" s="100">
        <v>104012.95</v>
      </c>
      <c r="AF51" s="100">
        <v>101474.15</v>
      </c>
      <c r="AG51" s="100">
        <v>96297.77</v>
      </c>
      <c r="AH51" s="101">
        <v>84148.27</v>
      </c>
      <c r="AI51" s="102">
        <f t="shared" ref="AI51:AT51" si="153">+ W51 * ( 1 + $AJ$3 )</f>
        <v>89178.34</v>
      </c>
      <c r="AJ51" s="102">
        <f t="shared" si="153"/>
        <v>99501.09</v>
      </c>
      <c r="AK51" s="102">
        <f t="shared" si="153"/>
        <v>131344.53</v>
      </c>
      <c r="AL51" s="102">
        <f t="shared" si="153"/>
        <v>130414.54</v>
      </c>
      <c r="AM51" s="102">
        <f t="shared" si="153"/>
        <v>135343.68</v>
      </c>
      <c r="AN51" s="102">
        <f t="shared" si="153"/>
        <v>122095.98</v>
      </c>
      <c r="AO51" s="102">
        <f t="shared" si="153"/>
        <v>121988.41</v>
      </c>
      <c r="AP51" s="102">
        <f t="shared" si="153"/>
        <v>118936.5</v>
      </c>
      <c r="AQ51" s="102">
        <f t="shared" si="153"/>
        <v>104012.95</v>
      </c>
      <c r="AR51" s="102">
        <f t="shared" si="153"/>
        <v>101474.15</v>
      </c>
      <c r="AS51" s="102">
        <f t="shared" si="153"/>
        <v>96297.77</v>
      </c>
      <c r="AT51" s="102">
        <f t="shared" si="153"/>
        <v>84148.27</v>
      </c>
      <c r="AU51" s="104">
        <v>0.0055</v>
      </c>
      <c r="AV51" s="105">
        <v>1113922.15</v>
      </c>
      <c r="AW51" s="106">
        <f t="shared" si="10"/>
        <v>1.318251065</v>
      </c>
      <c r="AX51" s="90" t="s">
        <v>110</v>
      </c>
      <c r="AY51" s="107">
        <v>0.0</v>
      </c>
      <c r="AZ51" s="108">
        <f t="shared" si="11"/>
        <v>0</v>
      </c>
      <c r="BA51" s="109">
        <f t="shared" si="12"/>
        <v>1.318251065</v>
      </c>
      <c r="BB51" s="110">
        <f t="shared" ref="BB51:BF51" si="154">+IFERROR( $AZ51 * CB51, 0 )</f>
        <v>0</v>
      </c>
      <c r="BC51" s="110">
        <f t="shared" si="154"/>
        <v>0</v>
      </c>
      <c r="BD51" s="110">
        <f t="shared" si="154"/>
        <v>0</v>
      </c>
      <c r="BE51" s="110">
        <f t="shared" si="154"/>
        <v>0</v>
      </c>
      <c r="BF51" s="111">
        <f t="shared" si="154"/>
        <v>0</v>
      </c>
      <c r="BG51" s="112">
        <v>106.0</v>
      </c>
      <c r="BH51" s="113"/>
      <c r="BI51" s="114" t="s">
        <v>27</v>
      </c>
      <c r="BJ51" s="115">
        <v>25.0</v>
      </c>
      <c r="BK51" s="116" t="s">
        <v>111</v>
      </c>
      <c r="BL51" s="117">
        <v>0.0</v>
      </c>
      <c r="BM51" s="118">
        <v>20.9</v>
      </c>
      <c r="BN51" s="119"/>
      <c r="BO51" s="120">
        <v>17660.5</v>
      </c>
      <c r="BP51" s="28">
        <v>0.04</v>
      </c>
      <c r="BQ51" s="43">
        <f t="shared" si="14"/>
        <v>44556.886</v>
      </c>
      <c r="BR51" s="121">
        <v>46113.0</v>
      </c>
      <c r="BS51" s="122">
        <v>196.0</v>
      </c>
      <c r="BT51" s="20">
        <v>46156.555555555555</v>
      </c>
      <c r="BU51" s="20">
        <v>46221.88888888889</v>
      </c>
      <c r="BV51" s="20">
        <v>0.0</v>
      </c>
      <c r="BW51" s="20">
        <v>0.0</v>
      </c>
      <c r="BX51" s="155">
        <v>46126.0</v>
      </c>
      <c r="BY51" s="156">
        <f t="shared" si="139"/>
        <v>46309</v>
      </c>
      <c r="BZ51" s="124">
        <v>46126.0</v>
      </c>
      <c r="CA51" s="45">
        <v>55426.0</v>
      </c>
      <c r="CB51" s="125">
        <v>0.7</v>
      </c>
      <c r="CC51" s="125">
        <v>0.2</v>
      </c>
      <c r="CD51" s="125" t="s">
        <v>112</v>
      </c>
      <c r="CE51" s="125" t="s">
        <v>112</v>
      </c>
      <c r="CF51" s="125">
        <v>0.1</v>
      </c>
      <c r="CG51" s="110">
        <f t="shared" ref="CG51:CK51" si="155">+IFERROR( $AV51 * CB51, 0 )</f>
        <v>779745.505</v>
      </c>
      <c r="CH51" s="110">
        <f t="shared" si="155"/>
        <v>222784.43</v>
      </c>
      <c r="CI51" s="110">
        <f t="shared" si="155"/>
        <v>0</v>
      </c>
      <c r="CJ51" s="110">
        <f t="shared" si="155"/>
        <v>0</v>
      </c>
      <c r="CK51" s="110">
        <f t="shared" si="155"/>
        <v>111392.215</v>
      </c>
      <c r="CL51" s="126">
        <f t="shared" si="16"/>
        <v>1113922.15</v>
      </c>
      <c r="CM51" s="127">
        <v>49979.0</v>
      </c>
      <c r="CN51" s="128">
        <v>30.0</v>
      </c>
      <c r="CO51" s="129">
        <f t="shared" si="17"/>
        <v>5</v>
      </c>
      <c r="CP51" s="130">
        <v>106.0</v>
      </c>
      <c r="CQ51" s="131">
        <v>0.0</v>
      </c>
      <c r="CR51" s="132">
        <f t="shared" si="18"/>
        <v>106</v>
      </c>
      <c r="CS51" s="45">
        <v>57223.0</v>
      </c>
      <c r="CU51" s="8" t="s">
        <v>3</v>
      </c>
    </row>
    <row r="52" ht="13.5" customHeight="1" outlineLevel="1">
      <c r="B52" s="134">
        <v>1.0</v>
      </c>
      <c r="C52" s="88">
        <f t="shared" si="5"/>
        <v>45</v>
      </c>
      <c r="D52" s="87"/>
      <c r="E52" s="89" t="s">
        <v>167</v>
      </c>
      <c r="F52" s="89">
        <v>2.0</v>
      </c>
      <c r="G52" s="90" t="s">
        <v>106</v>
      </c>
      <c r="H52" s="92" t="s">
        <v>168</v>
      </c>
      <c r="I52" s="92" t="s">
        <v>184</v>
      </c>
      <c r="J52" s="93"/>
      <c r="K52" s="43">
        <f t="shared" si="6"/>
        <v>0</v>
      </c>
      <c r="L52" s="92">
        <v>1.0</v>
      </c>
      <c r="M52" s="92" t="s">
        <v>184</v>
      </c>
      <c r="N52" s="94" t="str">
        <f t="shared" si="7"/>
        <v>Eaton | Aerospace Tijuana</v>
      </c>
      <c r="O52" s="94"/>
      <c r="P52" s="95"/>
      <c r="Q52" s="95"/>
      <c r="R52" s="154">
        <f t="shared" si="112"/>
        <v>0</v>
      </c>
      <c r="S52" s="95">
        <v>0.845</v>
      </c>
      <c r="T52" s="96">
        <f t="shared" si="8"/>
        <v>1409.208178</v>
      </c>
      <c r="U52" s="97">
        <v>1190.7809100000002</v>
      </c>
      <c r="V52" s="98" t="s">
        <v>109</v>
      </c>
      <c r="W52" s="99">
        <v>63399.72</v>
      </c>
      <c r="X52" s="100">
        <v>69868.89</v>
      </c>
      <c r="Y52" s="100">
        <v>103113.67</v>
      </c>
      <c r="Z52" s="100">
        <v>113410.85</v>
      </c>
      <c r="AA52" s="100">
        <v>132766.29</v>
      </c>
      <c r="AB52" s="100">
        <v>130069.09</v>
      </c>
      <c r="AC52" s="100">
        <v>137577.97</v>
      </c>
      <c r="AD52" s="100">
        <v>127590.54</v>
      </c>
      <c r="AE52" s="100">
        <v>106628.48</v>
      </c>
      <c r="AF52" s="100">
        <v>83787.6</v>
      </c>
      <c r="AG52" s="100">
        <v>65064.28</v>
      </c>
      <c r="AH52" s="101">
        <v>57503.53</v>
      </c>
      <c r="AI52" s="102">
        <f t="shared" ref="AI52:AT52" si="156">+ W52 * ( 1 + $AJ$3 )</f>
        <v>63399.72</v>
      </c>
      <c r="AJ52" s="102">
        <f t="shared" si="156"/>
        <v>69868.89</v>
      </c>
      <c r="AK52" s="102">
        <f t="shared" si="156"/>
        <v>103113.67</v>
      </c>
      <c r="AL52" s="102">
        <f t="shared" si="156"/>
        <v>113410.85</v>
      </c>
      <c r="AM52" s="102">
        <f t="shared" si="156"/>
        <v>132766.29</v>
      </c>
      <c r="AN52" s="102">
        <f t="shared" si="156"/>
        <v>130069.09</v>
      </c>
      <c r="AO52" s="102">
        <f t="shared" si="156"/>
        <v>137577.97</v>
      </c>
      <c r="AP52" s="102">
        <f t="shared" si="156"/>
        <v>127590.54</v>
      </c>
      <c r="AQ52" s="102">
        <f t="shared" si="156"/>
        <v>106628.48</v>
      </c>
      <c r="AR52" s="102">
        <f t="shared" si="156"/>
        <v>83787.6</v>
      </c>
      <c r="AS52" s="102">
        <f t="shared" si="156"/>
        <v>65064.28</v>
      </c>
      <c r="AT52" s="102">
        <f t="shared" si="156"/>
        <v>57503.53</v>
      </c>
      <c r="AU52" s="104">
        <v>0.0055</v>
      </c>
      <c r="AV52" s="105">
        <v>641997.38</v>
      </c>
      <c r="AW52" s="106">
        <f t="shared" si="10"/>
        <v>0.759760213</v>
      </c>
      <c r="AX52" s="90" t="s">
        <v>110</v>
      </c>
      <c r="AY52" s="107">
        <v>0.0</v>
      </c>
      <c r="AZ52" s="108">
        <f t="shared" si="11"/>
        <v>0</v>
      </c>
      <c r="BA52" s="109">
        <f t="shared" si="12"/>
        <v>0.759760213</v>
      </c>
      <c r="BB52" s="110">
        <f t="shared" ref="BB52:BF52" si="157">+IFERROR( $AZ52 * CB52, 0 )</f>
        <v>0</v>
      </c>
      <c r="BC52" s="110">
        <f t="shared" si="157"/>
        <v>0</v>
      </c>
      <c r="BD52" s="110">
        <f t="shared" si="157"/>
        <v>0</v>
      </c>
      <c r="BE52" s="110">
        <f t="shared" si="157"/>
        <v>0</v>
      </c>
      <c r="BF52" s="111">
        <f t="shared" si="157"/>
        <v>0</v>
      </c>
      <c r="BG52" s="112">
        <v>107.5</v>
      </c>
      <c r="BH52" s="113"/>
      <c r="BI52" s="114" t="s">
        <v>27</v>
      </c>
      <c r="BJ52" s="115">
        <v>25.0</v>
      </c>
      <c r="BK52" s="116" t="s">
        <v>111</v>
      </c>
      <c r="BL52" s="117">
        <v>0.0</v>
      </c>
      <c r="BM52" s="118">
        <v>20.9</v>
      </c>
      <c r="BN52" s="119"/>
      <c r="BO52" s="120">
        <v>17660.5</v>
      </c>
      <c r="BP52" s="28">
        <v>0.04</v>
      </c>
      <c r="BQ52" s="43">
        <f t="shared" si="14"/>
        <v>25679.8952</v>
      </c>
      <c r="BR52" s="121">
        <v>46113.0</v>
      </c>
      <c r="BS52" s="122">
        <v>140.0</v>
      </c>
      <c r="BT52" s="20">
        <v>46144.11111111111</v>
      </c>
      <c r="BU52" s="20">
        <v>46190.77777777778</v>
      </c>
      <c r="BV52" s="20">
        <v>0.0</v>
      </c>
      <c r="BW52" s="20">
        <v>0.0</v>
      </c>
      <c r="BX52" s="155">
        <v>46072.0</v>
      </c>
      <c r="BY52" s="156">
        <f t="shared" si="139"/>
        <v>46253</v>
      </c>
      <c r="BZ52" s="124">
        <v>46082.0</v>
      </c>
      <c r="CA52" s="45">
        <v>55365.0</v>
      </c>
      <c r="CB52" s="125">
        <v>0.7</v>
      </c>
      <c r="CC52" s="125">
        <v>0.2</v>
      </c>
      <c r="CD52" s="125" t="s">
        <v>112</v>
      </c>
      <c r="CE52" s="125" t="s">
        <v>112</v>
      </c>
      <c r="CF52" s="125">
        <v>0.1</v>
      </c>
      <c r="CG52" s="110">
        <f t="shared" ref="CG52:CK52" si="158">+IFERROR( $AV52 * CB52, 0 )</f>
        <v>449398.166</v>
      </c>
      <c r="CH52" s="110">
        <f t="shared" si="158"/>
        <v>128399.476</v>
      </c>
      <c r="CI52" s="110">
        <f t="shared" si="158"/>
        <v>0</v>
      </c>
      <c r="CJ52" s="110">
        <f t="shared" si="158"/>
        <v>0</v>
      </c>
      <c r="CK52" s="110">
        <f t="shared" si="158"/>
        <v>64199.738</v>
      </c>
      <c r="CL52" s="126">
        <f t="shared" si="16"/>
        <v>641997.38</v>
      </c>
      <c r="CM52" s="127">
        <v>49918.0</v>
      </c>
      <c r="CN52" s="128">
        <v>30.0</v>
      </c>
      <c r="CO52" s="129">
        <f t="shared" si="17"/>
        <v>5</v>
      </c>
      <c r="CP52" s="130">
        <v>107.5</v>
      </c>
      <c r="CQ52" s="131">
        <v>0.0</v>
      </c>
      <c r="CR52" s="132">
        <f t="shared" si="18"/>
        <v>107.5</v>
      </c>
      <c r="CS52" s="45">
        <v>57161.0</v>
      </c>
      <c r="CU52" s="8" t="s">
        <v>3</v>
      </c>
    </row>
    <row r="53" ht="13.5" customHeight="1" outlineLevel="1">
      <c r="B53" s="134">
        <v>0.0</v>
      </c>
      <c r="C53" s="88">
        <f t="shared" si="5"/>
        <v>46</v>
      </c>
      <c r="D53" s="87"/>
      <c r="E53" s="89"/>
      <c r="F53" s="89"/>
      <c r="G53" s="90"/>
      <c r="H53" s="157"/>
      <c r="I53" s="92"/>
      <c r="J53" s="93"/>
      <c r="K53" s="43">
        <f t="shared" si="6"/>
        <v>0</v>
      </c>
      <c r="L53" s="92">
        <v>1.0</v>
      </c>
      <c r="M53" s="157"/>
      <c r="N53" s="94" t="str">
        <f t="shared" si="7"/>
        <v> | </v>
      </c>
      <c r="O53" s="94"/>
      <c r="P53" s="95"/>
      <c r="Q53" s="95"/>
      <c r="R53" s="154">
        <f t="shared" si="112"/>
        <v>0</v>
      </c>
      <c r="S53" s="95">
        <v>0.0</v>
      </c>
      <c r="T53" s="96">
        <f t="shared" si="8"/>
        <v>0</v>
      </c>
      <c r="U53" s="97"/>
      <c r="V53" s="98" t="s">
        <v>109</v>
      </c>
      <c r="W53" s="99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1"/>
      <c r="AI53" s="102">
        <f t="shared" ref="AI53:AT53" si="159">+ W53 * ( 1 + $AJ$3 )</f>
        <v>0</v>
      </c>
      <c r="AJ53" s="102">
        <f t="shared" si="159"/>
        <v>0</v>
      </c>
      <c r="AK53" s="102">
        <f t="shared" si="159"/>
        <v>0</v>
      </c>
      <c r="AL53" s="102">
        <f t="shared" si="159"/>
        <v>0</v>
      </c>
      <c r="AM53" s="102">
        <f t="shared" si="159"/>
        <v>0</v>
      </c>
      <c r="AN53" s="102">
        <f t="shared" si="159"/>
        <v>0</v>
      </c>
      <c r="AO53" s="102">
        <f t="shared" si="159"/>
        <v>0</v>
      </c>
      <c r="AP53" s="102">
        <f t="shared" si="159"/>
        <v>0</v>
      </c>
      <c r="AQ53" s="102">
        <f t="shared" si="159"/>
        <v>0</v>
      </c>
      <c r="AR53" s="102">
        <f t="shared" si="159"/>
        <v>0</v>
      </c>
      <c r="AS53" s="102">
        <f t="shared" si="159"/>
        <v>0</v>
      </c>
      <c r="AT53" s="102">
        <f t="shared" si="159"/>
        <v>0</v>
      </c>
      <c r="AU53" s="104">
        <v>0.0</v>
      </c>
      <c r="AV53" s="105"/>
      <c r="AW53" s="106" t="str">
        <f t="shared" si="10"/>
        <v>n.a.</v>
      </c>
      <c r="AX53" s="90" t="s">
        <v>146</v>
      </c>
      <c r="AY53" s="107">
        <v>0.0</v>
      </c>
      <c r="AZ53" s="108">
        <f t="shared" si="11"/>
        <v>0</v>
      </c>
      <c r="BA53" s="109" t="str">
        <f t="shared" si="12"/>
        <v>n.a.</v>
      </c>
      <c r="BB53" s="110">
        <f t="shared" ref="BB53:BF53" si="160">+IFERROR( $AZ53 * CB53, 0 )</f>
        <v>0</v>
      </c>
      <c r="BC53" s="110">
        <f t="shared" si="160"/>
        <v>0</v>
      </c>
      <c r="BD53" s="110">
        <f t="shared" si="160"/>
        <v>0</v>
      </c>
      <c r="BE53" s="110">
        <f t="shared" si="160"/>
        <v>0</v>
      </c>
      <c r="BF53" s="111">
        <f t="shared" si="160"/>
        <v>0</v>
      </c>
      <c r="BG53" s="112"/>
      <c r="BH53" s="113"/>
      <c r="BI53" s="114" t="s">
        <v>27</v>
      </c>
      <c r="BJ53" s="115">
        <v>15.0</v>
      </c>
      <c r="BK53" s="116" t="s">
        <v>111</v>
      </c>
      <c r="BL53" s="117">
        <v>0.04</v>
      </c>
      <c r="BM53" s="118"/>
      <c r="BN53" s="119"/>
      <c r="BO53" s="120">
        <v>0.0</v>
      </c>
      <c r="BP53" s="28">
        <v>0.04</v>
      </c>
      <c r="BQ53" s="43">
        <f t="shared" si="14"/>
        <v>0</v>
      </c>
      <c r="BR53" s="121"/>
      <c r="BS53" s="122"/>
      <c r="BT53" s="20">
        <v>0.0</v>
      </c>
      <c r="BU53" s="20">
        <v>0.0</v>
      </c>
      <c r="BV53" s="20">
        <v>0.0</v>
      </c>
      <c r="BW53" s="20">
        <v>0.0</v>
      </c>
      <c r="BX53" s="155">
        <v>0.0</v>
      </c>
      <c r="BY53" s="156">
        <f t="shared" si="139"/>
        <v>0</v>
      </c>
      <c r="BZ53" s="124">
        <v>0.0</v>
      </c>
      <c r="CA53" s="45">
        <v>5479.0</v>
      </c>
      <c r="CB53" s="125" t="s">
        <v>112</v>
      </c>
      <c r="CC53" s="125" t="s">
        <v>112</v>
      </c>
      <c r="CD53" s="125">
        <v>0.7</v>
      </c>
      <c r="CE53" s="125">
        <v>0.2</v>
      </c>
      <c r="CF53" s="125">
        <v>0.1</v>
      </c>
      <c r="CG53" s="110">
        <f t="shared" ref="CG53:CK53" si="161">+IFERROR( $AV53 * CB53, 0 )</f>
        <v>0</v>
      </c>
      <c r="CH53" s="110">
        <f t="shared" si="161"/>
        <v>0</v>
      </c>
      <c r="CI53" s="110">
        <f t="shared" si="161"/>
        <v>0</v>
      </c>
      <c r="CJ53" s="110">
        <f t="shared" si="161"/>
        <v>0</v>
      </c>
      <c r="CK53" s="110">
        <f t="shared" si="161"/>
        <v>0</v>
      </c>
      <c r="CL53" s="126">
        <f t="shared" si="16"/>
        <v>0</v>
      </c>
      <c r="CM53" s="127">
        <v>3684.0</v>
      </c>
      <c r="CN53" s="128" t="e">
        <v>#N/A</v>
      </c>
      <c r="CO53" s="129" t="str">
        <f t="shared" si="17"/>
        <v>#N/A</v>
      </c>
      <c r="CP53" s="130">
        <v>0.0</v>
      </c>
      <c r="CQ53" s="131">
        <v>0.0</v>
      </c>
      <c r="CR53" s="132">
        <f t="shared" si="18"/>
        <v>0</v>
      </c>
      <c r="CS53" s="45" t="e">
        <v>#N/A</v>
      </c>
      <c r="CU53" s="8" t="s">
        <v>3</v>
      </c>
    </row>
    <row r="54" ht="13.5" customHeight="1" outlineLevel="1">
      <c r="B54" s="134">
        <v>0.0</v>
      </c>
      <c r="C54" s="88">
        <f t="shared" si="5"/>
        <v>47</v>
      </c>
      <c r="D54" s="87"/>
      <c r="E54" s="89"/>
      <c r="F54" s="89"/>
      <c r="G54" s="90"/>
      <c r="H54" s="157"/>
      <c r="I54" s="92"/>
      <c r="J54" s="93"/>
      <c r="K54" s="43">
        <f t="shared" si="6"/>
        <v>0</v>
      </c>
      <c r="L54" s="92">
        <v>1.0</v>
      </c>
      <c r="M54" s="157"/>
      <c r="N54" s="94" t="str">
        <f t="shared" si="7"/>
        <v> | </v>
      </c>
      <c r="O54" s="94"/>
      <c r="P54" s="95"/>
      <c r="Q54" s="95"/>
      <c r="R54" s="154">
        <f t="shared" si="112"/>
        <v>0</v>
      </c>
      <c r="S54" s="95">
        <v>0.0</v>
      </c>
      <c r="T54" s="96">
        <f t="shared" si="8"/>
        <v>0</v>
      </c>
      <c r="U54" s="97"/>
      <c r="V54" s="98" t="s">
        <v>109</v>
      </c>
      <c r="W54" s="99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1"/>
      <c r="AI54" s="102">
        <f t="shared" ref="AI54:AT54" si="162">+ W54 * ( 1 + $AJ$3 )</f>
        <v>0</v>
      </c>
      <c r="AJ54" s="102">
        <f t="shared" si="162"/>
        <v>0</v>
      </c>
      <c r="AK54" s="102">
        <f t="shared" si="162"/>
        <v>0</v>
      </c>
      <c r="AL54" s="102">
        <f t="shared" si="162"/>
        <v>0</v>
      </c>
      <c r="AM54" s="102">
        <f t="shared" si="162"/>
        <v>0</v>
      </c>
      <c r="AN54" s="102">
        <f t="shared" si="162"/>
        <v>0</v>
      </c>
      <c r="AO54" s="102">
        <f t="shared" si="162"/>
        <v>0</v>
      </c>
      <c r="AP54" s="102">
        <f t="shared" si="162"/>
        <v>0</v>
      </c>
      <c r="AQ54" s="102">
        <f t="shared" si="162"/>
        <v>0</v>
      </c>
      <c r="AR54" s="102">
        <f t="shared" si="162"/>
        <v>0</v>
      </c>
      <c r="AS54" s="102">
        <f t="shared" si="162"/>
        <v>0</v>
      </c>
      <c r="AT54" s="102">
        <f t="shared" si="162"/>
        <v>0</v>
      </c>
      <c r="AU54" s="104">
        <v>0.0</v>
      </c>
      <c r="AV54" s="105"/>
      <c r="AW54" s="106" t="str">
        <f t="shared" si="10"/>
        <v>n.a.</v>
      </c>
      <c r="AX54" s="90" t="s">
        <v>110</v>
      </c>
      <c r="AY54" s="107">
        <v>0.0</v>
      </c>
      <c r="AZ54" s="108">
        <f t="shared" si="11"/>
        <v>0</v>
      </c>
      <c r="BA54" s="109" t="str">
        <f t="shared" si="12"/>
        <v>n.a.</v>
      </c>
      <c r="BB54" s="110">
        <f t="shared" ref="BB54:BF54" si="163">+IFERROR( $AZ54 * CB54, 0 )</f>
        <v>0</v>
      </c>
      <c r="BC54" s="110">
        <f t="shared" si="163"/>
        <v>0</v>
      </c>
      <c r="BD54" s="110">
        <f t="shared" si="163"/>
        <v>0</v>
      </c>
      <c r="BE54" s="110">
        <f t="shared" si="163"/>
        <v>0</v>
      </c>
      <c r="BF54" s="111">
        <f t="shared" si="163"/>
        <v>0</v>
      </c>
      <c r="BG54" s="112"/>
      <c r="BH54" s="113"/>
      <c r="BI54" s="114" t="s">
        <v>27</v>
      </c>
      <c r="BJ54" s="115">
        <v>15.0</v>
      </c>
      <c r="BK54" s="116" t="s">
        <v>111</v>
      </c>
      <c r="BL54" s="117">
        <v>0.04</v>
      </c>
      <c r="BM54" s="118"/>
      <c r="BN54" s="119"/>
      <c r="BO54" s="120">
        <v>0.0</v>
      </c>
      <c r="BP54" s="28">
        <v>0.04</v>
      </c>
      <c r="BQ54" s="43">
        <f t="shared" si="14"/>
        <v>0</v>
      </c>
      <c r="BR54" s="121"/>
      <c r="BS54" s="122"/>
      <c r="BT54" s="20">
        <v>0.0</v>
      </c>
      <c r="BU54" s="20">
        <v>0.0</v>
      </c>
      <c r="BV54" s="20">
        <v>0.0</v>
      </c>
      <c r="BW54" s="20">
        <v>0.0</v>
      </c>
      <c r="BX54" s="155">
        <v>0.0</v>
      </c>
      <c r="BY54" s="156">
        <f t="shared" si="139"/>
        <v>0</v>
      </c>
      <c r="BZ54" s="124">
        <v>0.0</v>
      </c>
      <c r="CA54" s="45">
        <v>5479.0</v>
      </c>
      <c r="CB54" s="125">
        <v>0.7</v>
      </c>
      <c r="CC54" s="125">
        <v>0.2</v>
      </c>
      <c r="CD54" s="125" t="s">
        <v>112</v>
      </c>
      <c r="CE54" s="125" t="s">
        <v>112</v>
      </c>
      <c r="CF54" s="125">
        <v>0.1</v>
      </c>
      <c r="CG54" s="110">
        <f t="shared" ref="CG54:CK54" si="164">+IFERROR( $AV54 * CB54, 0 )</f>
        <v>0</v>
      </c>
      <c r="CH54" s="110">
        <f t="shared" si="164"/>
        <v>0</v>
      </c>
      <c r="CI54" s="110">
        <f t="shared" si="164"/>
        <v>0</v>
      </c>
      <c r="CJ54" s="110">
        <f t="shared" si="164"/>
        <v>0</v>
      </c>
      <c r="CK54" s="110">
        <f t="shared" si="164"/>
        <v>0</v>
      </c>
      <c r="CL54" s="126">
        <f t="shared" si="16"/>
        <v>0</v>
      </c>
      <c r="CM54" s="127">
        <v>3684.0</v>
      </c>
      <c r="CN54" s="128" t="e">
        <v>#N/A</v>
      </c>
      <c r="CO54" s="129" t="str">
        <f t="shared" si="17"/>
        <v>#N/A</v>
      </c>
      <c r="CP54" s="130">
        <v>0.0</v>
      </c>
      <c r="CQ54" s="131">
        <v>0.0</v>
      </c>
      <c r="CR54" s="132">
        <f t="shared" si="18"/>
        <v>0</v>
      </c>
      <c r="CS54" s="45" t="e">
        <v>#N/A</v>
      </c>
      <c r="CU54" s="8" t="s">
        <v>3</v>
      </c>
    </row>
    <row r="55" ht="13.5" customHeight="1" outlineLevel="1">
      <c r="B55" s="134">
        <v>0.0</v>
      </c>
      <c r="C55" s="88">
        <f t="shared" si="5"/>
        <v>48</v>
      </c>
      <c r="D55" s="87"/>
      <c r="E55" s="89"/>
      <c r="F55" s="89"/>
      <c r="G55" s="90"/>
      <c r="H55" s="157"/>
      <c r="I55" s="92"/>
      <c r="J55" s="93"/>
      <c r="K55" s="43">
        <f t="shared" si="6"/>
        <v>0</v>
      </c>
      <c r="L55" s="92">
        <v>1.0</v>
      </c>
      <c r="M55" s="157"/>
      <c r="N55" s="94" t="str">
        <f t="shared" si="7"/>
        <v> | </v>
      </c>
      <c r="O55" s="94"/>
      <c r="P55" s="95"/>
      <c r="Q55" s="95"/>
      <c r="R55" s="154">
        <f t="shared" si="112"/>
        <v>0</v>
      </c>
      <c r="S55" s="95">
        <v>0.0</v>
      </c>
      <c r="T55" s="96">
        <f t="shared" si="8"/>
        <v>0</v>
      </c>
      <c r="U55" s="97"/>
      <c r="V55" s="98" t="s">
        <v>109</v>
      </c>
      <c r="W55" s="99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1"/>
      <c r="AI55" s="102">
        <f t="shared" ref="AI55:AT55" si="165">+ W55 * ( 1 + $AJ$3 )</f>
        <v>0</v>
      </c>
      <c r="AJ55" s="102">
        <f t="shared" si="165"/>
        <v>0</v>
      </c>
      <c r="AK55" s="102">
        <f t="shared" si="165"/>
        <v>0</v>
      </c>
      <c r="AL55" s="102">
        <f t="shared" si="165"/>
        <v>0</v>
      </c>
      <c r="AM55" s="102">
        <f t="shared" si="165"/>
        <v>0</v>
      </c>
      <c r="AN55" s="102">
        <f t="shared" si="165"/>
        <v>0</v>
      </c>
      <c r="AO55" s="102">
        <f t="shared" si="165"/>
        <v>0</v>
      </c>
      <c r="AP55" s="102">
        <f t="shared" si="165"/>
        <v>0</v>
      </c>
      <c r="AQ55" s="102">
        <f t="shared" si="165"/>
        <v>0</v>
      </c>
      <c r="AR55" s="102">
        <f t="shared" si="165"/>
        <v>0</v>
      </c>
      <c r="AS55" s="102">
        <f t="shared" si="165"/>
        <v>0</v>
      </c>
      <c r="AT55" s="102">
        <f t="shared" si="165"/>
        <v>0</v>
      </c>
      <c r="AU55" s="104">
        <v>0.0</v>
      </c>
      <c r="AV55" s="105"/>
      <c r="AW55" s="106" t="str">
        <f t="shared" si="10"/>
        <v>n.a.</v>
      </c>
      <c r="AX55" s="90" t="s">
        <v>122</v>
      </c>
      <c r="AY55" s="107">
        <v>0.0</v>
      </c>
      <c r="AZ55" s="108">
        <f t="shared" si="11"/>
        <v>0</v>
      </c>
      <c r="BA55" s="109" t="str">
        <f t="shared" si="12"/>
        <v>n.a.</v>
      </c>
      <c r="BB55" s="110">
        <f t="shared" ref="BB55:BF55" si="166">+IFERROR( $AZ55 * CB55, 0 )</f>
        <v>0</v>
      </c>
      <c r="BC55" s="110">
        <f t="shared" si="166"/>
        <v>0</v>
      </c>
      <c r="BD55" s="110">
        <f t="shared" si="166"/>
        <v>0</v>
      </c>
      <c r="BE55" s="110">
        <f t="shared" si="166"/>
        <v>0</v>
      </c>
      <c r="BF55" s="111">
        <f t="shared" si="166"/>
        <v>0</v>
      </c>
      <c r="BG55" s="112"/>
      <c r="BH55" s="113"/>
      <c r="BI55" s="114" t="s">
        <v>27</v>
      </c>
      <c r="BJ55" s="115">
        <v>15.0</v>
      </c>
      <c r="BK55" s="116" t="s">
        <v>111</v>
      </c>
      <c r="BL55" s="117">
        <v>0.04</v>
      </c>
      <c r="BM55" s="118"/>
      <c r="BN55" s="119"/>
      <c r="BO55" s="120">
        <v>0.0</v>
      </c>
      <c r="BP55" s="28">
        <v>0.04</v>
      </c>
      <c r="BQ55" s="43">
        <f t="shared" si="14"/>
        <v>0</v>
      </c>
      <c r="BR55" s="121"/>
      <c r="BS55" s="122"/>
      <c r="BT55" s="20">
        <v>0.0</v>
      </c>
      <c r="BU55" s="20">
        <v>0.0</v>
      </c>
      <c r="BV55" s="20">
        <v>0.0</v>
      </c>
      <c r="BW55" s="20">
        <v>0.0</v>
      </c>
      <c r="BX55" s="155">
        <v>0.0</v>
      </c>
      <c r="BY55" s="156">
        <f t="shared" si="139"/>
        <v>0</v>
      </c>
      <c r="BZ55" s="124">
        <v>0.0</v>
      </c>
      <c r="CA55" s="45">
        <v>5479.0</v>
      </c>
      <c r="CB55" s="125">
        <v>0.7</v>
      </c>
      <c r="CC55" s="125">
        <v>0.2</v>
      </c>
      <c r="CD55" s="125" t="s">
        <v>112</v>
      </c>
      <c r="CE55" s="125" t="s">
        <v>112</v>
      </c>
      <c r="CF55" s="125">
        <v>0.1</v>
      </c>
      <c r="CG55" s="110">
        <f t="shared" ref="CG55:CK55" si="167">+IFERROR( $AV55 * CB55, 0 )</f>
        <v>0</v>
      </c>
      <c r="CH55" s="110">
        <f t="shared" si="167"/>
        <v>0</v>
      </c>
      <c r="CI55" s="110">
        <f t="shared" si="167"/>
        <v>0</v>
      </c>
      <c r="CJ55" s="110">
        <f t="shared" si="167"/>
        <v>0</v>
      </c>
      <c r="CK55" s="110">
        <f t="shared" si="167"/>
        <v>0</v>
      </c>
      <c r="CL55" s="126">
        <f t="shared" si="16"/>
        <v>0</v>
      </c>
      <c r="CM55" s="127">
        <v>3684.0</v>
      </c>
      <c r="CN55" s="128" t="e">
        <v>#N/A</v>
      </c>
      <c r="CO55" s="129" t="str">
        <f t="shared" si="17"/>
        <v>#N/A</v>
      </c>
      <c r="CP55" s="130">
        <v>0.0</v>
      </c>
      <c r="CQ55" s="131">
        <v>0.0</v>
      </c>
      <c r="CR55" s="132">
        <f t="shared" si="18"/>
        <v>0</v>
      </c>
      <c r="CS55" s="45" t="e">
        <v>#N/A</v>
      </c>
      <c r="CU55" s="8" t="s">
        <v>3</v>
      </c>
    </row>
    <row r="56" ht="13.5" customHeight="1" outlineLevel="1">
      <c r="B56" s="134">
        <v>0.0</v>
      </c>
      <c r="C56" s="88">
        <f t="shared" si="5"/>
        <v>49</v>
      </c>
      <c r="D56" s="87"/>
      <c r="E56" s="89"/>
      <c r="F56" s="89"/>
      <c r="G56" s="90"/>
      <c r="H56" s="157"/>
      <c r="I56" s="92"/>
      <c r="J56" s="93"/>
      <c r="K56" s="43">
        <f t="shared" si="6"/>
        <v>0</v>
      </c>
      <c r="L56" s="92">
        <v>1.0</v>
      </c>
      <c r="M56" s="157"/>
      <c r="N56" s="94" t="str">
        <f t="shared" si="7"/>
        <v> | </v>
      </c>
      <c r="O56" s="94"/>
      <c r="P56" s="95"/>
      <c r="Q56" s="95"/>
      <c r="R56" s="154">
        <f t="shared" si="112"/>
        <v>0</v>
      </c>
      <c r="S56" s="95">
        <v>0.0</v>
      </c>
      <c r="T56" s="96">
        <f t="shared" si="8"/>
        <v>0</v>
      </c>
      <c r="U56" s="97"/>
      <c r="V56" s="98" t="s">
        <v>109</v>
      </c>
      <c r="W56" s="99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1"/>
      <c r="AI56" s="102">
        <f t="shared" ref="AI56:AT56" si="168">+ W56 * ( 1 + $AJ$3 )</f>
        <v>0</v>
      </c>
      <c r="AJ56" s="102">
        <f t="shared" si="168"/>
        <v>0</v>
      </c>
      <c r="AK56" s="102">
        <f t="shared" si="168"/>
        <v>0</v>
      </c>
      <c r="AL56" s="102">
        <f t="shared" si="168"/>
        <v>0</v>
      </c>
      <c r="AM56" s="102">
        <f t="shared" si="168"/>
        <v>0</v>
      </c>
      <c r="AN56" s="102">
        <f t="shared" si="168"/>
        <v>0</v>
      </c>
      <c r="AO56" s="102">
        <f t="shared" si="168"/>
        <v>0</v>
      </c>
      <c r="AP56" s="102">
        <f t="shared" si="168"/>
        <v>0</v>
      </c>
      <c r="AQ56" s="102">
        <f t="shared" si="168"/>
        <v>0</v>
      </c>
      <c r="AR56" s="102">
        <f t="shared" si="168"/>
        <v>0</v>
      </c>
      <c r="AS56" s="102">
        <f t="shared" si="168"/>
        <v>0</v>
      </c>
      <c r="AT56" s="102">
        <f t="shared" si="168"/>
        <v>0</v>
      </c>
      <c r="AU56" s="104">
        <v>0.0</v>
      </c>
      <c r="AV56" s="105"/>
      <c r="AW56" s="106" t="str">
        <f t="shared" si="10"/>
        <v>n.a.</v>
      </c>
      <c r="AX56" s="90" t="s">
        <v>110</v>
      </c>
      <c r="AY56" s="107">
        <v>0.0</v>
      </c>
      <c r="AZ56" s="108">
        <f t="shared" si="11"/>
        <v>0</v>
      </c>
      <c r="BA56" s="109" t="str">
        <f t="shared" si="12"/>
        <v>n.a.</v>
      </c>
      <c r="BB56" s="110">
        <f t="shared" ref="BB56:BF56" si="169">+IFERROR( $AZ56 * CB56, 0 )</f>
        <v>0</v>
      </c>
      <c r="BC56" s="110">
        <f t="shared" si="169"/>
        <v>0</v>
      </c>
      <c r="BD56" s="110">
        <f t="shared" si="169"/>
        <v>0</v>
      </c>
      <c r="BE56" s="110">
        <f t="shared" si="169"/>
        <v>0</v>
      </c>
      <c r="BF56" s="111">
        <f t="shared" si="169"/>
        <v>0</v>
      </c>
      <c r="BG56" s="112"/>
      <c r="BH56" s="113"/>
      <c r="BI56" s="114" t="s">
        <v>27</v>
      </c>
      <c r="BJ56" s="115">
        <v>15.0</v>
      </c>
      <c r="BK56" s="116" t="s">
        <v>111</v>
      </c>
      <c r="BL56" s="117">
        <v>0.04</v>
      </c>
      <c r="BM56" s="118"/>
      <c r="BN56" s="119"/>
      <c r="BO56" s="120">
        <v>0.0</v>
      </c>
      <c r="BP56" s="28">
        <v>0.04</v>
      </c>
      <c r="BQ56" s="43">
        <f t="shared" si="14"/>
        <v>0</v>
      </c>
      <c r="BR56" s="121"/>
      <c r="BS56" s="122"/>
      <c r="BT56" s="20">
        <v>0.0</v>
      </c>
      <c r="BU56" s="20">
        <v>0.0</v>
      </c>
      <c r="BV56" s="20">
        <v>0.0</v>
      </c>
      <c r="BW56" s="20">
        <v>0.0</v>
      </c>
      <c r="BX56" s="155">
        <v>0.0</v>
      </c>
      <c r="BY56" s="156">
        <f t="shared" si="139"/>
        <v>0</v>
      </c>
      <c r="BZ56" s="124">
        <v>0.0</v>
      </c>
      <c r="CA56" s="45">
        <v>5479.0</v>
      </c>
      <c r="CB56" s="125">
        <v>0.7</v>
      </c>
      <c r="CC56" s="125">
        <v>0.2</v>
      </c>
      <c r="CD56" s="125" t="s">
        <v>112</v>
      </c>
      <c r="CE56" s="125" t="s">
        <v>112</v>
      </c>
      <c r="CF56" s="125">
        <v>0.1</v>
      </c>
      <c r="CG56" s="110">
        <f t="shared" ref="CG56:CK56" si="170">+IFERROR( $AV56 * CB56, 0 )</f>
        <v>0</v>
      </c>
      <c r="CH56" s="110">
        <f t="shared" si="170"/>
        <v>0</v>
      </c>
      <c r="CI56" s="110">
        <f t="shared" si="170"/>
        <v>0</v>
      </c>
      <c r="CJ56" s="110">
        <f t="shared" si="170"/>
        <v>0</v>
      </c>
      <c r="CK56" s="110">
        <f t="shared" si="170"/>
        <v>0</v>
      </c>
      <c r="CL56" s="126">
        <f t="shared" si="16"/>
        <v>0</v>
      </c>
      <c r="CM56" s="127">
        <v>3684.0</v>
      </c>
      <c r="CN56" s="128" t="e">
        <v>#N/A</v>
      </c>
      <c r="CO56" s="129" t="str">
        <f t="shared" si="17"/>
        <v>#N/A</v>
      </c>
      <c r="CP56" s="130">
        <v>0.0</v>
      </c>
      <c r="CQ56" s="131">
        <v>0.0</v>
      </c>
      <c r="CR56" s="132">
        <f t="shared" si="18"/>
        <v>0</v>
      </c>
      <c r="CS56" s="45" t="e">
        <v>#N/A</v>
      </c>
      <c r="CU56" s="8" t="s">
        <v>3</v>
      </c>
    </row>
    <row r="57" ht="13.5" customHeight="1" outlineLevel="1">
      <c r="B57" s="134">
        <v>0.0</v>
      </c>
      <c r="C57" s="88">
        <f t="shared" si="5"/>
        <v>50</v>
      </c>
      <c r="D57" s="87"/>
      <c r="E57" s="89"/>
      <c r="F57" s="89"/>
      <c r="G57" s="90"/>
      <c r="H57" s="157"/>
      <c r="I57" s="92"/>
      <c r="J57" s="93"/>
      <c r="K57" s="43">
        <f t="shared" si="6"/>
        <v>0</v>
      </c>
      <c r="L57" s="92">
        <v>1.0</v>
      </c>
      <c r="M57" s="157"/>
      <c r="N57" s="94" t="str">
        <f t="shared" si="7"/>
        <v> | </v>
      </c>
      <c r="O57" s="94"/>
      <c r="P57" s="95"/>
      <c r="Q57" s="95"/>
      <c r="R57" s="154">
        <f t="shared" si="112"/>
        <v>0</v>
      </c>
      <c r="S57" s="95">
        <v>0.0</v>
      </c>
      <c r="T57" s="96">
        <f t="shared" si="8"/>
        <v>0</v>
      </c>
      <c r="U57" s="97"/>
      <c r="V57" s="98" t="s">
        <v>109</v>
      </c>
      <c r="W57" s="99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1"/>
      <c r="AI57" s="102">
        <f t="shared" ref="AI57:AT57" si="171">+ W57 * ( 1 + $AJ$3 )</f>
        <v>0</v>
      </c>
      <c r="AJ57" s="102">
        <f t="shared" si="171"/>
        <v>0</v>
      </c>
      <c r="AK57" s="102">
        <f t="shared" si="171"/>
        <v>0</v>
      </c>
      <c r="AL57" s="102">
        <f t="shared" si="171"/>
        <v>0</v>
      </c>
      <c r="AM57" s="102">
        <f t="shared" si="171"/>
        <v>0</v>
      </c>
      <c r="AN57" s="102">
        <f t="shared" si="171"/>
        <v>0</v>
      </c>
      <c r="AO57" s="102">
        <f t="shared" si="171"/>
        <v>0</v>
      </c>
      <c r="AP57" s="102">
        <f t="shared" si="171"/>
        <v>0</v>
      </c>
      <c r="AQ57" s="102">
        <f t="shared" si="171"/>
        <v>0</v>
      </c>
      <c r="AR57" s="102">
        <f t="shared" si="171"/>
        <v>0</v>
      </c>
      <c r="AS57" s="102">
        <f t="shared" si="171"/>
        <v>0</v>
      </c>
      <c r="AT57" s="102">
        <f t="shared" si="171"/>
        <v>0</v>
      </c>
      <c r="AU57" s="104">
        <v>0.0</v>
      </c>
      <c r="AV57" s="105"/>
      <c r="AW57" s="106" t="str">
        <f t="shared" si="10"/>
        <v>n.a.</v>
      </c>
      <c r="AX57" s="90" t="s">
        <v>110</v>
      </c>
      <c r="AY57" s="107">
        <v>0.0</v>
      </c>
      <c r="AZ57" s="108">
        <f t="shared" si="11"/>
        <v>0</v>
      </c>
      <c r="BA57" s="109" t="str">
        <f t="shared" si="12"/>
        <v>n.a.</v>
      </c>
      <c r="BB57" s="110">
        <f t="shared" ref="BB57:BF57" si="172">+IFERROR( $AZ57 * CB57, 0 )</f>
        <v>0</v>
      </c>
      <c r="BC57" s="110">
        <f t="shared" si="172"/>
        <v>0</v>
      </c>
      <c r="BD57" s="110">
        <f t="shared" si="172"/>
        <v>0</v>
      </c>
      <c r="BE57" s="110">
        <f t="shared" si="172"/>
        <v>0</v>
      </c>
      <c r="BF57" s="111">
        <f t="shared" si="172"/>
        <v>0</v>
      </c>
      <c r="BG57" s="112"/>
      <c r="BH57" s="113"/>
      <c r="BI57" s="114" t="s">
        <v>27</v>
      </c>
      <c r="BJ57" s="115">
        <v>15.0</v>
      </c>
      <c r="BK57" s="116" t="s">
        <v>111</v>
      </c>
      <c r="BL57" s="117">
        <v>0.04</v>
      </c>
      <c r="BM57" s="118"/>
      <c r="BN57" s="119"/>
      <c r="BO57" s="120">
        <v>0.0</v>
      </c>
      <c r="BP57" s="28">
        <v>0.04</v>
      </c>
      <c r="BQ57" s="43">
        <f t="shared" si="14"/>
        <v>0</v>
      </c>
      <c r="BR57" s="121"/>
      <c r="BS57" s="122"/>
      <c r="BT57" s="20">
        <v>0.0</v>
      </c>
      <c r="BU57" s="20">
        <v>0.0</v>
      </c>
      <c r="BV57" s="20">
        <v>0.0</v>
      </c>
      <c r="BW57" s="20">
        <v>0.0</v>
      </c>
      <c r="BX57" s="155">
        <v>0.0</v>
      </c>
      <c r="BY57" s="156">
        <f t="shared" si="139"/>
        <v>0</v>
      </c>
      <c r="BZ57" s="124">
        <v>0.0</v>
      </c>
      <c r="CA57" s="45">
        <v>5479.0</v>
      </c>
      <c r="CB57" s="125">
        <v>0.7</v>
      </c>
      <c r="CC57" s="125">
        <v>0.2</v>
      </c>
      <c r="CD57" s="125" t="s">
        <v>112</v>
      </c>
      <c r="CE57" s="125" t="s">
        <v>112</v>
      </c>
      <c r="CF57" s="125">
        <v>0.1</v>
      </c>
      <c r="CG57" s="110">
        <f t="shared" ref="CG57:CK57" si="173">+IFERROR( $AV57 * CB57, 0 )</f>
        <v>0</v>
      </c>
      <c r="CH57" s="110">
        <f t="shared" si="173"/>
        <v>0</v>
      </c>
      <c r="CI57" s="110">
        <f t="shared" si="173"/>
        <v>0</v>
      </c>
      <c r="CJ57" s="110">
        <f t="shared" si="173"/>
        <v>0</v>
      </c>
      <c r="CK57" s="110">
        <f t="shared" si="173"/>
        <v>0</v>
      </c>
      <c r="CL57" s="126">
        <f t="shared" si="16"/>
        <v>0</v>
      </c>
      <c r="CM57" s="127">
        <v>3684.0</v>
      </c>
      <c r="CN57" s="128" t="e">
        <v>#N/A</v>
      </c>
      <c r="CO57" s="129" t="str">
        <f t="shared" si="17"/>
        <v>#N/A</v>
      </c>
      <c r="CP57" s="130">
        <v>0.0</v>
      </c>
      <c r="CQ57" s="131">
        <v>0.0</v>
      </c>
      <c r="CR57" s="132">
        <f t="shared" si="18"/>
        <v>0</v>
      </c>
      <c r="CS57" s="45" t="e">
        <v>#N/A</v>
      </c>
      <c r="CU57" s="8" t="s">
        <v>3</v>
      </c>
    </row>
    <row r="58" ht="13.5" customHeight="1" outlineLevel="1">
      <c r="B58" s="134">
        <v>0.0</v>
      </c>
      <c r="C58" s="88">
        <f t="shared" si="5"/>
        <v>51</v>
      </c>
      <c r="D58" s="87"/>
      <c r="E58" s="89"/>
      <c r="F58" s="89"/>
      <c r="G58" s="90"/>
      <c r="H58" s="157"/>
      <c r="I58" s="92"/>
      <c r="J58" s="93"/>
      <c r="K58" s="43">
        <f t="shared" si="6"/>
        <v>0</v>
      </c>
      <c r="L58" s="92">
        <v>1.0</v>
      </c>
      <c r="M58" s="157"/>
      <c r="N58" s="94" t="str">
        <f t="shared" si="7"/>
        <v> | </v>
      </c>
      <c r="O58" s="94"/>
      <c r="P58" s="95"/>
      <c r="Q58" s="95"/>
      <c r="R58" s="154">
        <f t="shared" si="112"/>
        <v>0</v>
      </c>
      <c r="S58" s="95">
        <v>0.0</v>
      </c>
      <c r="T58" s="96">
        <f t="shared" si="8"/>
        <v>0</v>
      </c>
      <c r="U58" s="97"/>
      <c r="V58" s="98" t="s">
        <v>109</v>
      </c>
      <c r="W58" s="99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1"/>
      <c r="AI58" s="102">
        <f t="shared" ref="AI58:AT58" si="174">+ W58 * ( 1 + $AJ$3 )</f>
        <v>0</v>
      </c>
      <c r="AJ58" s="102">
        <f t="shared" si="174"/>
        <v>0</v>
      </c>
      <c r="AK58" s="102">
        <f t="shared" si="174"/>
        <v>0</v>
      </c>
      <c r="AL58" s="102">
        <f t="shared" si="174"/>
        <v>0</v>
      </c>
      <c r="AM58" s="102">
        <f t="shared" si="174"/>
        <v>0</v>
      </c>
      <c r="AN58" s="102">
        <f t="shared" si="174"/>
        <v>0</v>
      </c>
      <c r="AO58" s="102">
        <f t="shared" si="174"/>
        <v>0</v>
      </c>
      <c r="AP58" s="102">
        <f t="shared" si="174"/>
        <v>0</v>
      </c>
      <c r="AQ58" s="102">
        <f t="shared" si="174"/>
        <v>0</v>
      </c>
      <c r="AR58" s="102">
        <f t="shared" si="174"/>
        <v>0</v>
      </c>
      <c r="AS58" s="102">
        <f t="shared" si="174"/>
        <v>0</v>
      </c>
      <c r="AT58" s="102">
        <f t="shared" si="174"/>
        <v>0</v>
      </c>
      <c r="AU58" s="104">
        <v>0.0</v>
      </c>
      <c r="AV58" s="105"/>
      <c r="AW58" s="106" t="str">
        <f t="shared" si="10"/>
        <v>n.a.</v>
      </c>
      <c r="AX58" s="90" t="s">
        <v>110</v>
      </c>
      <c r="AY58" s="107">
        <v>0.0</v>
      </c>
      <c r="AZ58" s="108">
        <f t="shared" si="11"/>
        <v>0</v>
      </c>
      <c r="BA58" s="109" t="str">
        <f t="shared" si="12"/>
        <v>n.a.</v>
      </c>
      <c r="BB58" s="110">
        <f t="shared" ref="BB58:BF58" si="175">+IFERROR( $AZ58 * CB58, 0 )</f>
        <v>0</v>
      </c>
      <c r="BC58" s="110">
        <f t="shared" si="175"/>
        <v>0</v>
      </c>
      <c r="BD58" s="110">
        <f t="shared" si="175"/>
        <v>0</v>
      </c>
      <c r="BE58" s="110">
        <f t="shared" si="175"/>
        <v>0</v>
      </c>
      <c r="BF58" s="111">
        <f t="shared" si="175"/>
        <v>0</v>
      </c>
      <c r="BG58" s="112"/>
      <c r="BH58" s="113"/>
      <c r="BI58" s="114" t="s">
        <v>27</v>
      </c>
      <c r="BJ58" s="115">
        <v>15.0</v>
      </c>
      <c r="BK58" s="116" t="s">
        <v>111</v>
      </c>
      <c r="BL58" s="117">
        <v>0.04</v>
      </c>
      <c r="BM58" s="118"/>
      <c r="BN58" s="119"/>
      <c r="BO58" s="120">
        <v>0.0</v>
      </c>
      <c r="BP58" s="28">
        <v>0.04</v>
      </c>
      <c r="BQ58" s="43">
        <f t="shared" si="14"/>
        <v>0</v>
      </c>
      <c r="BR58" s="121"/>
      <c r="BS58" s="122"/>
      <c r="BT58" s="20">
        <v>0.0</v>
      </c>
      <c r="BU58" s="20">
        <v>0.0</v>
      </c>
      <c r="BV58" s="20">
        <v>0.0</v>
      </c>
      <c r="BW58" s="20">
        <v>0.0</v>
      </c>
      <c r="BX58" s="155">
        <v>0.0</v>
      </c>
      <c r="BY58" s="156">
        <f t="shared" si="139"/>
        <v>0</v>
      </c>
      <c r="BZ58" s="124">
        <v>0.0</v>
      </c>
      <c r="CA58" s="45">
        <v>5479.0</v>
      </c>
      <c r="CB58" s="125">
        <v>0.7</v>
      </c>
      <c r="CC58" s="125">
        <v>0.2</v>
      </c>
      <c r="CD58" s="125" t="s">
        <v>112</v>
      </c>
      <c r="CE58" s="125" t="s">
        <v>112</v>
      </c>
      <c r="CF58" s="125">
        <v>0.1</v>
      </c>
      <c r="CG58" s="110">
        <f t="shared" ref="CG58:CK58" si="176">+IFERROR( $AV58 * CB58, 0 )</f>
        <v>0</v>
      </c>
      <c r="CH58" s="110">
        <f t="shared" si="176"/>
        <v>0</v>
      </c>
      <c r="CI58" s="110">
        <f t="shared" si="176"/>
        <v>0</v>
      </c>
      <c r="CJ58" s="110">
        <f t="shared" si="176"/>
        <v>0</v>
      </c>
      <c r="CK58" s="110">
        <f t="shared" si="176"/>
        <v>0</v>
      </c>
      <c r="CL58" s="126">
        <f t="shared" si="16"/>
        <v>0</v>
      </c>
      <c r="CM58" s="127">
        <v>3684.0</v>
      </c>
      <c r="CN58" s="128" t="e">
        <v>#N/A</v>
      </c>
      <c r="CO58" s="129" t="str">
        <f t="shared" si="17"/>
        <v>#N/A</v>
      </c>
      <c r="CP58" s="130">
        <v>0.0</v>
      </c>
      <c r="CQ58" s="131">
        <v>0.0</v>
      </c>
      <c r="CR58" s="132">
        <f t="shared" si="18"/>
        <v>0</v>
      </c>
      <c r="CS58" s="45" t="e">
        <v>#N/A</v>
      </c>
      <c r="CU58" s="8" t="s">
        <v>3</v>
      </c>
    </row>
    <row r="59" ht="13.5" customHeight="1" outlineLevel="1">
      <c r="B59" s="134">
        <v>0.0</v>
      </c>
      <c r="C59" s="88">
        <f t="shared" si="5"/>
        <v>52</v>
      </c>
      <c r="D59" s="87"/>
      <c r="E59" s="89"/>
      <c r="F59" s="89"/>
      <c r="G59" s="90"/>
      <c r="H59" s="157"/>
      <c r="I59" s="92"/>
      <c r="J59" s="93"/>
      <c r="K59" s="43">
        <f t="shared" si="6"/>
        <v>0</v>
      </c>
      <c r="L59" s="92">
        <v>1.0</v>
      </c>
      <c r="M59" s="157"/>
      <c r="N59" s="94" t="str">
        <f t="shared" si="7"/>
        <v> | </v>
      </c>
      <c r="O59" s="94"/>
      <c r="P59" s="95"/>
      <c r="Q59" s="95"/>
      <c r="R59" s="154">
        <f t="shared" si="112"/>
        <v>0</v>
      </c>
      <c r="S59" s="95">
        <v>0.0</v>
      </c>
      <c r="T59" s="96">
        <f t="shared" si="8"/>
        <v>0</v>
      </c>
      <c r="U59" s="97"/>
      <c r="V59" s="98" t="s">
        <v>109</v>
      </c>
      <c r="W59" s="99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1"/>
      <c r="AI59" s="102">
        <f t="shared" ref="AI59:AT59" si="177">+ W59 * ( 1 + $AJ$3 )</f>
        <v>0</v>
      </c>
      <c r="AJ59" s="102">
        <f t="shared" si="177"/>
        <v>0</v>
      </c>
      <c r="AK59" s="102">
        <f t="shared" si="177"/>
        <v>0</v>
      </c>
      <c r="AL59" s="102">
        <f t="shared" si="177"/>
        <v>0</v>
      </c>
      <c r="AM59" s="102">
        <f t="shared" si="177"/>
        <v>0</v>
      </c>
      <c r="AN59" s="102">
        <f t="shared" si="177"/>
        <v>0</v>
      </c>
      <c r="AO59" s="102">
        <f t="shared" si="177"/>
        <v>0</v>
      </c>
      <c r="AP59" s="102">
        <f t="shared" si="177"/>
        <v>0</v>
      </c>
      <c r="AQ59" s="102">
        <f t="shared" si="177"/>
        <v>0</v>
      </c>
      <c r="AR59" s="102">
        <f t="shared" si="177"/>
        <v>0</v>
      </c>
      <c r="AS59" s="102">
        <f t="shared" si="177"/>
        <v>0</v>
      </c>
      <c r="AT59" s="102">
        <f t="shared" si="177"/>
        <v>0</v>
      </c>
      <c r="AU59" s="104">
        <v>0.0</v>
      </c>
      <c r="AV59" s="105"/>
      <c r="AW59" s="106" t="str">
        <f t="shared" si="10"/>
        <v>n.a.</v>
      </c>
      <c r="AX59" s="90" t="s">
        <v>110</v>
      </c>
      <c r="AY59" s="107">
        <v>0.0</v>
      </c>
      <c r="AZ59" s="108">
        <f t="shared" si="11"/>
        <v>0</v>
      </c>
      <c r="BA59" s="109" t="str">
        <f t="shared" si="12"/>
        <v>n.a.</v>
      </c>
      <c r="BB59" s="110">
        <f t="shared" ref="BB59:BF59" si="178">+IFERROR( $AZ59 * CB59, 0 )</f>
        <v>0</v>
      </c>
      <c r="BC59" s="110">
        <f t="shared" si="178"/>
        <v>0</v>
      </c>
      <c r="BD59" s="110">
        <f t="shared" si="178"/>
        <v>0</v>
      </c>
      <c r="BE59" s="110">
        <f t="shared" si="178"/>
        <v>0</v>
      </c>
      <c r="BF59" s="111">
        <f t="shared" si="178"/>
        <v>0</v>
      </c>
      <c r="BG59" s="112"/>
      <c r="BH59" s="113"/>
      <c r="BI59" s="114" t="s">
        <v>27</v>
      </c>
      <c r="BJ59" s="115">
        <v>15.0</v>
      </c>
      <c r="BK59" s="116" t="s">
        <v>111</v>
      </c>
      <c r="BL59" s="117">
        <v>0.04</v>
      </c>
      <c r="BM59" s="118"/>
      <c r="BN59" s="119"/>
      <c r="BO59" s="120">
        <v>0.0</v>
      </c>
      <c r="BP59" s="28">
        <v>0.04</v>
      </c>
      <c r="BQ59" s="43">
        <f t="shared" si="14"/>
        <v>0</v>
      </c>
      <c r="BR59" s="121"/>
      <c r="BS59" s="122"/>
      <c r="BT59" s="20">
        <v>0.0</v>
      </c>
      <c r="BU59" s="20">
        <v>0.0</v>
      </c>
      <c r="BV59" s="20">
        <v>0.0</v>
      </c>
      <c r="BW59" s="20">
        <v>0.0</v>
      </c>
      <c r="BX59" s="155">
        <v>0.0</v>
      </c>
      <c r="BY59" s="156">
        <f t="shared" si="139"/>
        <v>0</v>
      </c>
      <c r="BZ59" s="124">
        <v>0.0</v>
      </c>
      <c r="CA59" s="45">
        <v>5479.0</v>
      </c>
      <c r="CB59" s="125">
        <v>0.7</v>
      </c>
      <c r="CC59" s="125">
        <v>0.2</v>
      </c>
      <c r="CD59" s="125" t="s">
        <v>112</v>
      </c>
      <c r="CE59" s="125" t="s">
        <v>112</v>
      </c>
      <c r="CF59" s="125">
        <v>0.1</v>
      </c>
      <c r="CG59" s="110">
        <f t="shared" ref="CG59:CK59" si="179">+IFERROR( $AV59 * CB59, 0 )</f>
        <v>0</v>
      </c>
      <c r="CH59" s="110">
        <f t="shared" si="179"/>
        <v>0</v>
      </c>
      <c r="CI59" s="110">
        <f t="shared" si="179"/>
        <v>0</v>
      </c>
      <c r="CJ59" s="110">
        <f t="shared" si="179"/>
        <v>0</v>
      </c>
      <c r="CK59" s="110">
        <f t="shared" si="179"/>
        <v>0</v>
      </c>
      <c r="CL59" s="126">
        <f t="shared" si="16"/>
        <v>0</v>
      </c>
      <c r="CM59" s="127">
        <v>3684.0</v>
      </c>
      <c r="CN59" s="128" t="e">
        <v>#N/A</v>
      </c>
      <c r="CO59" s="129" t="str">
        <f t="shared" si="17"/>
        <v>#N/A</v>
      </c>
      <c r="CP59" s="130">
        <v>0.0</v>
      </c>
      <c r="CQ59" s="131">
        <v>0.0</v>
      </c>
      <c r="CR59" s="132">
        <f t="shared" si="18"/>
        <v>0</v>
      </c>
      <c r="CS59" s="45" t="e">
        <v>#N/A</v>
      </c>
      <c r="CU59" s="8" t="s">
        <v>3</v>
      </c>
    </row>
    <row r="60" ht="13.5" customHeight="1" outlineLevel="1">
      <c r="B60" s="134">
        <v>0.0</v>
      </c>
      <c r="C60" s="88">
        <f t="shared" si="5"/>
        <v>53</v>
      </c>
      <c r="D60" s="87"/>
      <c r="E60" s="89"/>
      <c r="F60" s="89"/>
      <c r="G60" s="90"/>
      <c r="H60" s="157"/>
      <c r="I60" s="92"/>
      <c r="J60" s="93"/>
      <c r="K60" s="43">
        <f t="shared" si="6"/>
        <v>0</v>
      </c>
      <c r="L60" s="92">
        <v>1.0</v>
      </c>
      <c r="M60" s="157"/>
      <c r="N60" s="94" t="str">
        <f t="shared" si="7"/>
        <v> | </v>
      </c>
      <c r="O60" s="94"/>
      <c r="P60" s="95"/>
      <c r="Q60" s="95"/>
      <c r="R60" s="154">
        <f t="shared" si="112"/>
        <v>0</v>
      </c>
      <c r="S60" s="95">
        <v>0.0</v>
      </c>
      <c r="T60" s="96">
        <f t="shared" si="8"/>
        <v>0</v>
      </c>
      <c r="U60" s="97"/>
      <c r="V60" s="98" t="s">
        <v>109</v>
      </c>
      <c r="W60" s="99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1"/>
      <c r="AI60" s="102">
        <f t="shared" ref="AI60:AT60" si="180">+ W60 * ( 1 + $AJ$3 )</f>
        <v>0</v>
      </c>
      <c r="AJ60" s="102">
        <f t="shared" si="180"/>
        <v>0</v>
      </c>
      <c r="AK60" s="102">
        <f t="shared" si="180"/>
        <v>0</v>
      </c>
      <c r="AL60" s="102">
        <f t="shared" si="180"/>
        <v>0</v>
      </c>
      <c r="AM60" s="102">
        <f t="shared" si="180"/>
        <v>0</v>
      </c>
      <c r="AN60" s="102">
        <f t="shared" si="180"/>
        <v>0</v>
      </c>
      <c r="AO60" s="102">
        <f t="shared" si="180"/>
        <v>0</v>
      </c>
      <c r="AP60" s="102">
        <f t="shared" si="180"/>
        <v>0</v>
      </c>
      <c r="AQ60" s="102">
        <f t="shared" si="180"/>
        <v>0</v>
      </c>
      <c r="AR60" s="102">
        <f t="shared" si="180"/>
        <v>0</v>
      </c>
      <c r="AS60" s="102">
        <f t="shared" si="180"/>
        <v>0</v>
      </c>
      <c r="AT60" s="102">
        <f t="shared" si="180"/>
        <v>0</v>
      </c>
      <c r="AU60" s="104">
        <v>0.0</v>
      </c>
      <c r="AV60" s="105"/>
      <c r="AW60" s="106" t="str">
        <f t="shared" si="10"/>
        <v>n.a.</v>
      </c>
      <c r="AX60" s="90" t="s">
        <v>110</v>
      </c>
      <c r="AY60" s="107">
        <v>0.0</v>
      </c>
      <c r="AZ60" s="108">
        <f t="shared" si="11"/>
        <v>0</v>
      </c>
      <c r="BA60" s="109" t="str">
        <f t="shared" si="12"/>
        <v>n.a.</v>
      </c>
      <c r="BB60" s="110">
        <f t="shared" ref="BB60:BF60" si="181">+IFERROR( $AZ60 * CB60, 0 )</f>
        <v>0</v>
      </c>
      <c r="BC60" s="110">
        <f t="shared" si="181"/>
        <v>0</v>
      </c>
      <c r="BD60" s="110">
        <f t="shared" si="181"/>
        <v>0</v>
      </c>
      <c r="BE60" s="110">
        <f t="shared" si="181"/>
        <v>0</v>
      </c>
      <c r="BF60" s="111">
        <f t="shared" si="181"/>
        <v>0</v>
      </c>
      <c r="BG60" s="112"/>
      <c r="BH60" s="113"/>
      <c r="BI60" s="114" t="s">
        <v>27</v>
      </c>
      <c r="BJ60" s="115">
        <v>15.0</v>
      </c>
      <c r="BK60" s="116" t="s">
        <v>111</v>
      </c>
      <c r="BL60" s="117">
        <v>0.04</v>
      </c>
      <c r="BM60" s="118"/>
      <c r="BN60" s="119"/>
      <c r="BO60" s="120">
        <v>0.0</v>
      </c>
      <c r="BP60" s="28">
        <v>0.04</v>
      </c>
      <c r="BQ60" s="43">
        <f t="shared" si="14"/>
        <v>0</v>
      </c>
      <c r="BR60" s="121"/>
      <c r="BS60" s="122"/>
      <c r="BT60" s="20">
        <v>0.0</v>
      </c>
      <c r="BU60" s="20">
        <v>0.0</v>
      </c>
      <c r="BV60" s="20">
        <v>0.0</v>
      </c>
      <c r="BW60" s="20">
        <v>0.0</v>
      </c>
      <c r="BX60" s="155">
        <v>0.0</v>
      </c>
      <c r="BY60" s="156">
        <f t="shared" si="139"/>
        <v>0</v>
      </c>
      <c r="BZ60" s="124">
        <v>0.0</v>
      </c>
      <c r="CA60" s="45">
        <v>5479.0</v>
      </c>
      <c r="CB60" s="125">
        <v>0.7</v>
      </c>
      <c r="CC60" s="125">
        <v>0.2</v>
      </c>
      <c r="CD60" s="125" t="s">
        <v>112</v>
      </c>
      <c r="CE60" s="125" t="s">
        <v>112</v>
      </c>
      <c r="CF60" s="125">
        <v>0.1</v>
      </c>
      <c r="CG60" s="110">
        <f t="shared" ref="CG60:CK60" si="182">+IFERROR( $AV60 * CB60, 0 )</f>
        <v>0</v>
      </c>
      <c r="CH60" s="110">
        <f t="shared" si="182"/>
        <v>0</v>
      </c>
      <c r="CI60" s="110">
        <f t="shared" si="182"/>
        <v>0</v>
      </c>
      <c r="CJ60" s="110">
        <f t="shared" si="182"/>
        <v>0</v>
      </c>
      <c r="CK60" s="110">
        <f t="shared" si="182"/>
        <v>0</v>
      </c>
      <c r="CL60" s="126">
        <f t="shared" si="16"/>
        <v>0</v>
      </c>
      <c r="CM60" s="127">
        <v>3684.0</v>
      </c>
      <c r="CN60" s="128" t="e">
        <v>#N/A</v>
      </c>
      <c r="CO60" s="129" t="str">
        <f t="shared" si="17"/>
        <v>#N/A</v>
      </c>
      <c r="CP60" s="130">
        <v>0.0</v>
      </c>
      <c r="CQ60" s="131">
        <v>0.0</v>
      </c>
      <c r="CR60" s="132">
        <f t="shared" si="18"/>
        <v>0</v>
      </c>
      <c r="CS60" s="45" t="e">
        <v>#N/A</v>
      </c>
      <c r="CU60" s="8" t="s">
        <v>3</v>
      </c>
    </row>
    <row r="61" ht="13.5" customHeight="1" outlineLevel="1">
      <c r="B61" s="134">
        <v>0.0</v>
      </c>
      <c r="C61" s="88">
        <f t="shared" si="5"/>
        <v>54</v>
      </c>
      <c r="D61" s="87"/>
      <c r="E61" s="89"/>
      <c r="F61" s="89"/>
      <c r="G61" s="90"/>
      <c r="H61" s="157"/>
      <c r="I61" s="92"/>
      <c r="J61" s="93"/>
      <c r="K61" s="43">
        <f t="shared" si="6"/>
        <v>0</v>
      </c>
      <c r="L61" s="92">
        <v>1.0</v>
      </c>
      <c r="M61" s="157"/>
      <c r="N61" s="94" t="str">
        <f t="shared" si="7"/>
        <v> | </v>
      </c>
      <c r="O61" s="94"/>
      <c r="P61" s="95"/>
      <c r="Q61" s="95"/>
      <c r="R61" s="154">
        <f t="shared" si="112"/>
        <v>0</v>
      </c>
      <c r="S61" s="95">
        <v>0.0</v>
      </c>
      <c r="T61" s="96">
        <f t="shared" si="8"/>
        <v>0</v>
      </c>
      <c r="U61" s="97"/>
      <c r="V61" s="98" t="s">
        <v>109</v>
      </c>
      <c r="W61" s="99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1"/>
      <c r="AI61" s="102">
        <f t="shared" ref="AI61:AT61" si="183">+ W61 * ( 1 + $AJ$3 )</f>
        <v>0</v>
      </c>
      <c r="AJ61" s="102">
        <f t="shared" si="183"/>
        <v>0</v>
      </c>
      <c r="AK61" s="102">
        <f t="shared" si="183"/>
        <v>0</v>
      </c>
      <c r="AL61" s="102">
        <f t="shared" si="183"/>
        <v>0</v>
      </c>
      <c r="AM61" s="102">
        <f t="shared" si="183"/>
        <v>0</v>
      </c>
      <c r="AN61" s="102">
        <f t="shared" si="183"/>
        <v>0</v>
      </c>
      <c r="AO61" s="102">
        <f t="shared" si="183"/>
        <v>0</v>
      </c>
      <c r="AP61" s="102">
        <f t="shared" si="183"/>
        <v>0</v>
      </c>
      <c r="AQ61" s="102">
        <f t="shared" si="183"/>
        <v>0</v>
      </c>
      <c r="AR61" s="102">
        <f t="shared" si="183"/>
        <v>0</v>
      </c>
      <c r="AS61" s="102">
        <f t="shared" si="183"/>
        <v>0</v>
      </c>
      <c r="AT61" s="102">
        <f t="shared" si="183"/>
        <v>0</v>
      </c>
      <c r="AU61" s="104">
        <v>0.0</v>
      </c>
      <c r="AV61" s="105"/>
      <c r="AW61" s="106" t="str">
        <f t="shared" si="10"/>
        <v>n.a.</v>
      </c>
      <c r="AX61" s="90" t="s">
        <v>110</v>
      </c>
      <c r="AY61" s="107">
        <v>0.0</v>
      </c>
      <c r="AZ61" s="108">
        <f t="shared" si="11"/>
        <v>0</v>
      </c>
      <c r="BA61" s="109" t="str">
        <f t="shared" si="12"/>
        <v>n.a.</v>
      </c>
      <c r="BB61" s="110">
        <f t="shared" ref="BB61:BF61" si="184">+IFERROR( $AZ61 * CB61, 0 )</f>
        <v>0</v>
      </c>
      <c r="BC61" s="110">
        <f t="shared" si="184"/>
        <v>0</v>
      </c>
      <c r="BD61" s="110">
        <f t="shared" si="184"/>
        <v>0</v>
      </c>
      <c r="BE61" s="110">
        <f t="shared" si="184"/>
        <v>0</v>
      </c>
      <c r="BF61" s="111">
        <f t="shared" si="184"/>
        <v>0</v>
      </c>
      <c r="BG61" s="112"/>
      <c r="BH61" s="113"/>
      <c r="BI61" s="114" t="s">
        <v>27</v>
      </c>
      <c r="BJ61" s="115">
        <v>15.0</v>
      </c>
      <c r="BK61" s="116" t="s">
        <v>111</v>
      </c>
      <c r="BL61" s="117">
        <v>0.04</v>
      </c>
      <c r="BM61" s="118"/>
      <c r="BN61" s="119"/>
      <c r="BO61" s="120">
        <v>0.0</v>
      </c>
      <c r="BP61" s="28">
        <v>0.04</v>
      </c>
      <c r="BQ61" s="43">
        <f t="shared" si="14"/>
        <v>0</v>
      </c>
      <c r="BR61" s="121"/>
      <c r="BS61" s="122"/>
      <c r="BT61" s="20">
        <v>0.0</v>
      </c>
      <c r="BU61" s="20">
        <v>0.0</v>
      </c>
      <c r="BV61" s="20">
        <v>0.0</v>
      </c>
      <c r="BW61" s="20">
        <v>0.0</v>
      </c>
      <c r="BX61" s="155">
        <v>0.0</v>
      </c>
      <c r="BY61" s="156">
        <f t="shared" si="139"/>
        <v>0</v>
      </c>
      <c r="BZ61" s="124">
        <v>0.0</v>
      </c>
      <c r="CA61" s="45">
        <v>5479.0</v>
      </c>
      <c r="CB61" s="125">
        <v>0.7</v>
      </c>
      <c r="CC61" s="125">
        <v>0.2</v>
      </c>
      <c r="CD61" s="125" t="s">
        <v>112</v>
      </c>
      <c r="CE61" s="125" t="s">
        <v>112</v>
      </c>
      <c r="CF61" s="125">
        <v>0.1</v>
      </c>
      <c r="CG61" s="110">
        <f t="shared" ref="CG61:CK61" si="185">+IFERROR( $AV61 * CB61, 0 )</f>
        <v>0</v>
      </c>
      <c r="CH61" s="110">
        <f t="shared" si="185"/>
        <v>0</v>
      </c>
      <c r="CI61" s="110">
        <f t="shared" si="185"/>
        <v>0</v>
      </c>
      <c r="CJ61" s="110">
        <f t="shared" si="185"/>
        <v>0</v>
      </c>
      <c r="CK61" s="110">
        <f t="shared" si="185"/>
        <v>0</v>
      </c>
      <c r="CL61" s="126">
        <f t="shared" si="16"/>
        <v>0</v>
      </c>
      <c r="CM61" s="127">
        <v>3684.0</v>
      </c>
      <c r="CN61" s="128" t="e">
        <v>#N/A</v>
      </c>
      <c r="CO61" s="129" t="str">
        <f t="shared" si="17"/>
        <v>#N/A</v>
      </c>
      <c r="CP61" s="130">
        <v>0.0</v>
      </c>
      <c r="CQ61" s="131">
        <v>0.0</v>
      </c>
      <c r="CR61" s="132">
        <f t="shared" si="18"/>
        <v>0</v>
      </c>
      <c r="CS61" s="45" t="e">
        <v>#N/A</v>
      </c>
      <c r="CU61" s="8" t="s">
        <v>3</v>
      </c>
    </row>
    <row r="62" ht="13.5" customHeight="1" outlineLevel="1">
      <c r="B62" s="134">
        <v>0.0</v>
      </c>
      <c r="C62" s="88">
        <f t="shared" si="5"/>
        <v>55</v>
      </c>
      <c r="D62" s="87"/>
      <c r="E62" s="89"/>
      <c r="F62" s="89"/>
      <c r="G62" s="90"/>
      <c r="H62" s="157"/>
      <c r="I62" s="92"/>
      <c r="J62" s="93"/>
      <c r="K62" s="43">
        <f t="shared" si="6"/>
        <v>0</v>
      </c>
      <c r="L62" s="92">
        <v>1.0</v>
      </c>
      <c r="M62" s="157"/>
      <c r="N62" s="94" t="str">
        <f t="shared" si="7"/>
        <v> | </v>
      </c>
      <c r="O62" s="94"/>
      <c r="P62" s="95"/>
      <c r="Q62" s="95"/>
      <c r="R62" s="154">
        <f t="shared" si="112"/>
        <v>0</v>
      </c>
      <c r="S62" s="95">
        <v>0.0</v>
      </c>
      <c r="T62" s="96">
        <f t="shared" si="8"/>
        <v>0</v>
      </c>
      <c r="U62" s="97"/>
      <c r="V62" s="98" t="s">
        <v>109</v>
      </c>
      <c r="W62" s="99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1"/>
      <c r="AI62" s="102">
        <f t="shared" ref="AI62:AT62" si="186">+ W62 * ( 1 + $AJ$3 )</f>
        <v>0</v>
      </c>
      <c r="AJ62" s="102">
        <f t="shared" si="186"/>
        <v>0</v>
      </c>
      <c r="AK62" s="102">
        <f t="shared" si="186"/>
        <v>0</v>
      </c>
      <c r="AL62" s="102">
        <f t="shared" si="186"/>
        <v>0</v>
      </c>
      <c r="AM62" s="102">
        <f t="shared" si="186"/>
        <v>0</v>
      </c>
      <c r="AN62" s="102">
        <f t="shared" si="186"/>
        <v>0</v>
      </c>
      <c r="AO62" s="102">
        <f t="shared" si="186"/>
        <v>0</v>
      </c>
      <c r="AP62" s="102">
        <f t="shared" si="186"/>
        <v>0</v>
      </c>
      <c r="AQ62" s="102">
        <f t="shared" si="186"/>
        <v>0</v>
      </c>
      <c r="AR62" s="102">
        <f t="shared" si="186"/>
        <v>0</v>
      </c>
      <c r="AS62" s="102">
        <f t="shared" si="186"/>
        <v>0</v>
      </c>
      <c r="AT62" s="102">
        <f t="shared" si="186"/>
        <v>0</v>
      </c>
      <c r="AU62" s="104">
        <v>0.0</v>
      </c>
      <c r="AV62" s="105"/>
      <c r="AW62" s="106" t="str">
        <f t="shared" si="10"/>
        <v>n.a.</v>
      </c>
      <c r="AX62" s="90" t="s">
        <v>110</v>
      </c>
      <c r="AY62" s="107">
        <v>0.0</v>
      </c>
      <c r="AZ62" s="108">
        <f t="shared" si="11"/>
        <v>0</v>
      </c>
      <c r="BA62" s="109" t="str">
        <f t="shared" si="12"/>
        <v>n.a.</v>
      </c>
      <c r="BB62" s="110">
        <f t="shared" ref="BB62:BF62" si="187">+IFERROR( $AZ62 * CB62, 0 )</f>
        <v>0</v>
      </c>
      <c r="BC62" s="110">
        <f t="shared" si="187"/>
        <v>0</v>
      </c>
      <c r="BD62" s="110">
        <f t="shared" si="187"/>
        <v>0</v>
      </c>
      <c r="BE62" s="110">
        <f t="shared" si="187"/>
        <v>0</v>
      </c>
      <c r="BF62" s="111">
        <f t="shared" si="187"/>
        <v>0</v>
      </c>
      <c r="BG62" s="112"/>
      <c r="BH62" s="113"/>
      <c r="BI62" s="114" t="s">
        <v>27</v>
      </c>
      <c r="BJ62" s="115">
        <v>15.0</v>
      </c>
      <c r="BK62" s="116" t="s">
        <v>111</v>
      </c>
      <c r="BL62" s="117">
        <v>0.04</v>
      </c>
      <c r="BM62" s="118"/>
      <c r="BN62" s="119"/>
      <c r="BO62" s="120">
        <v>0.0</v>
      </c>
      <c r="BP62" s="28">
        <v>0.04</v>
      </c>
      <c r="BQ62" s="43">
        <f t="shared" si="14"/>
        <v>0</v>
      </c>
      <c r="BR62" s="121"/>
      <c r="BS62" s="122"/>
      <c r="BT62" s="20">
        <v>0.0</v>
      </c>
      <c r="BU62" s="20">
        <v>0.0</v>
      </c>
      <c r="BV62" s="20">
        <v>0.0</v>
      </c>
      <c r="BW62" s="20">
        <v>0.0</v>
      </c>
      <c r="BX62" s="155">
        <v>0.0</v>
      </c>
      <c r="BY62" s="156">
        <f t="shared" si="139"/>
        <v>0</v>
      </c>
      <c r="BZ62" s="124">
        <v>0.0</v>
      </c>
      <c r="CA62" s="45">
        <v>5479.0</v>
      </c>
      <c r="CB62" s="125">
        <v>0.7</v>
      </c>
      <c r="CC62" s="125">
        <v>0.2</v>
      </c>
      <c r="CD62" s="125" t="s">
        <v>112</v>
      </c>
      <c r="CE62" s="125" t="s">
        <v>112</v>
      </c>
      <c r="CF62" s="125">
        <v>0.1</v>
      </c>
      <c r="CG62" s="110">
        <f t="shared" ref="CG62:CK62" si="188">+IFERROR( $AV62 * CB62, 0 )</f>
        <v>0</v>
      </c>
      <c r="CH62" s="110">
        <f t="shared" si="188"/>
        <v>0</v>
      </c>
      <c r="CI62" s="110">
        <f t="shared" si="188"/>
        <v>0</v>
      </c>
      <c r="CJ62" s="110">
        <f t="shared" si="188"/>
        <v>0</v>
      </c>
      <c r="CK62" s="110">
        <f t="shared" si="188"/>
        <v>0</v>
      </c>
      <c r="CL62" s="126">
        <f t="shared" si="16"/>
        <v>0</v>
      </c>
      <c r="CM62" s="127">
        <v>3684.0</v>
      </c>
      <c r="CN62" s="128" t="e">
        <v>#N/A</v>
      </c>
      <c r="CO62" s="129" t="str">
        <f t="shared" si="17"/>
        <v>#N/A</v>
      </c>
      <c r="CP62" s="130">
        <v>0.0</v>
      </c>
      <c r="CQ62" s="131">
        <v>0.0</v>
      </c>
      <c r="CR62" s="132">
        <f t="shared" si="18"/>
        <v>0</v>
      </c>
      <c r="CS62" s="45" t="e">
        <v>#N/A</v>
      </c>
      <c r="CU62" s="8" t="s">
        <v>3</v>
      </c>
    </row>
    <row r="63" ht="13.5" customHeight="1" outlineLevel="1">
      <c r="B63" s="134">
        <v>0.0</v>
      </c>
      <c r="C63" s="88">
        <f t="shared" si="5"/>
        <v>56</v>
      </c>
      <c r="D63" s="87"/>
      <c r="E63" s="89"/>
      <c r="F63" s="89"/>
      <c r="G63" s="90"/>
      <c r="H63" s="157"/>
      <c r="I63" s="92"/>
      <c r="J63" s="93"/>
      <c r="K63" s="43">
        <f t="shared" si="6"/>
        <v>0</v>
      </c>
      <c r="L63" s="92">
        <v>1.0</v>
      </c>
      <c r="M63" s="157"/>
      <c r="N63" s="94" t="str">
        <f t="shared" si="7"/>
        <v> | </v>
      </c>
      <c r="O63" s="94"/>
      <c r="P63" s="95"/>
      <c r="Q63" s="95"/>
      <c r="R63" s="154">
        <f t="shared" si="112"/>
        <v>0</v>
      </c>
      <c r="S63" s="95">
        <v>0.0</v>
      </c>
      <c r="T63" s="96">
        <f t="shared" si="8"/>
        <v>0</v>
      </c>
      <c r="U63" s="97"/>
      <c r="V63" s="98" t="s">
        <v>109</v>
      </c>
      <c r="W63" s="99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1"/>
      <c r="AI63" s="102">
        <f t="shared" ref="AI63:AT63" si="189">+ W63 * ( 1 + $AJ$3 )</f>
        <v>0</v>
      </c>
      <c r="AJ63" s="102">
        <f t="shared" si="189"/>
        <v>0</v>
      </c>
      <c r="AK63" s="102">
        <f t="shared" si="189"/>
        <v>0</v>
      </c>
      <c r="AL63" s="102">
        <f t="shared" si="189"/>
        <v>0</v>
      </c>
      <c r="AM63" s="102">
        <f t="shared" si="189"/>
        <v>0</v>
      </c>
      <c r="AN63" s="102">
        <f t="shared" si="189"/>
        <v>0</v>
      </c>
      <c r="AO63" s="102">
        <f t="shared" si="189"/>
        <v>0</v>
      </c>
      <c r="AP63" s="102">
        <f t="shared" si="189"/>
        <v>0</v>
      </c>
      <c r="AQ63" s="102">
        <f t="shared" si="189"/>
        <v>0</v>
      </c>
      <c r="AR63" s="102">
        <f t="shared" si="189"/>
        <v>0</v>
      </c>
      <c r="AS63" s="102">
        <f t="shared" si="189"/>
        <v>0</v>
      </c>
      <c r="AT63" s="102">
        <f t="shared" si="189"/>
        <v>0</v>
      </c>
      <c r="AU63" s="104">
        <v>0.0</v>
      </c>
      <c r="AV63" s="105"/>
      <c r="AW63" s="106" t="str">
        <f t="shared" si="10"/>
        <v>n.a.</v>
      </c>
      <c r="AX63" s="90" t="s">
        <v>110</v>
      </c>
      <c r="AY63" s="107">
        <v>0.0</v>
      </c>
      <c r="AZ63" s="108">
        <f t="shared" si="11"/>
        <v>0</v>
      </c>
      <c r="BA63" s="109" t="str">
        <f t="shared" si="12"/>
        <v>n.a.</v>
      </c>
      <c r="BB63" s="110">
        <f t="shared" ref="BB63:BF63" si="190">+IFERROR( $AZ63 * CB63, 0 )</f>
        <v>0</v>
      </c>
      <c r="BC63" s="110">
        <f t="shared" si="190"/>
        <v>0</v>
      </c>
      <c r="BD63" s="110">
        <f t="shared" si="190"/>
        <v>0</v>
      </c>
      <c r="BE63" s="110">
        <f t="shared" si="190"/>
        <v>0</v>
      </c>
      <c r="BF63" s="111">
        <f t="shared" si="190"/>
        <v>0</v>
      </c>
      <c r="BG63" s="112"/>
      <c r="BH63" s="113"/>
      <c r="BI63" s="114" t="s">
        <v>27</v>
      </c>
      <c r="BJ63" s="115">
        <v>15.0</v>
      </c>
      <c r="BK63" s="116" t="s">
        <v>111</v>
      </c>
      <c r="BL63" s="117">
        <v>0.04</v>
      </c>
      <c r="BM63" s="118"/>
      <c r="BN63" s="119"/>
      <c r="BO63" s="120">
        <v>0.0</v>
      </c>
      <c r="BP63" s="28">
        <v>0.04</v>
      </c>
      <c r="BQ63" s="43">
        <f t="shared" si="14"/>
        <v>0</v>
      </c>
      <c r="BR63" s="121"/>
      <c r="BS63" s="122"/>
      <c r="BT63" s="20">
        <v>0.0</v>
      </c>
      <c r="BU63" s="20">
        <v>0.0</v>
      </c>
      <c r="BV63" s="20">
        <v>0.0</v>
      </c>
      <c r="BW63" s="20">
        <v>0.0</v>
      </c>
      <c r="BX63" s="155">
        <v>0.0</v>
      </c>
      <c r="BY63" s="156">
        <f t="shared" si="139"/>
        <v>0</v>
      </c>
      <c r="BZ63" s="124">
        <v>0.0</v>
      </c>
      <c r="CA63" s="45">
        <v>5479.0</v>
      </c>
      <c r="CB63" s="125">
        <v>0.7</v>
      </c>
      <c r="CC63" s="125">
        <v>0.2</v>
      </c>
      <c r="CD63" s="125" t="s">
        <v>112</v>
      </c>
      <c r="CE63" s="125" t="s">
        <v>112</v>
      </c>
      <c r="CF63" s="125">
        <v>0.1</v>
      </c>
      <c r="CG63" s="110">
        <f t="shared" ref="CG63:CK63" si="191">+IFERROR( $AV63 * CB63, 0 )</f>
        <v>0</v>
      </c>
      <c r="CH63" s="110">
        <f t="shared" si="191"/>
        <v>0</v>
      </c>
      <c r="CI63" s="110">
        <f t="shared" si="191"/>
        <v>0</v>
      </c>
      <c r="CJ63" s="110">
        <f t="shared" si="191"/>
        <v>0</v>
      </c>
      <c r="CK63" s="110">
        <f t="shared" si="191"/>
        <v>0</v>
      </c>
      <c r="CL63" s="126">
        <f t="shared" si="16"/>
        <v>0</v>
      </c>
      <c r="CM63" s="127">
        <v>3684.0</v>
      </c>
      <c r="CN63" s="128" t="e">
        <v>#N/A</v>
      </c>
      <c r="CO63" s="129" t="str">
        <f t="shared" si="17"/>
        <v>#N/A</v>
      </c>
      <c r="CP63" s="130">
        <v>0.0</v>
      </c>
      <c r="CQ63" s="131">
        <v>0.0</v>
      </c>
      <c r="CR63" s="132">
        <f t="shared" si="18"/>
        <v>0</v>
      </c>
      <c r="CS63" s="45" t="e">
        <v>#N/A</v>
      </c>
      <c r="CU63" s="8" t="s">
        <v>3</v>
      </c>
    </row>
    <row r="64" ht="13.5" customHeight="1" outlineLevel="1">
      <c r="B64" s="134">
        <v>0.0</v>
      </c>
      <c r="C64" s="88">
        <f t="shared" si="5"/>
        <v>57</v>
      </c>
      <c r="D64" s="87"/>
      <c r="E64" s="89"/>
      <c r="F64" s="89"/>
      <c r="G64" s="90"/>
      <c r="H64" s="157"/>
      <c r="I64" s="92"/>
      <c r="J64" s="93"/>
      <c r="K64" s="43">
        <f t="shared" si="6"/>
        <v>0</v>
      </c>
      <c r="L64" s="92">
        <v>1.0</v>
      </c>
      <c r="M64" s="157"/>
      <c r="N64" s="94" t="str">
        <f t="shared" si="7"/>
        <v> | </v>
      </c>
      <c r="O64" s="94"/>
      <c r="P64" s="95"/>
      <c r="Q64" s="95"/>
      <c r="R64" s="154">
        <f t="shared" si="112"/>
        <v>0</v>
      </c>
      <c r="S64" s="95">
        <v>0.0</v>
      </c>
      <c r="T64" s="96">
        <f t="shared" si="8"/>
        <v>0</v>
      </c>
      <c r="U64" s="97"/>
      <c r="V64" s="98" t="s">
        <v>109</v>
      </c>
      <c r="W64" s="99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1"/>
      <c r="AI64" s="102">
        <f t="shared" ref="AI64:AT64" si="192">+ W64 * ( 1 + $AJ$3 )</f>
        <v>0</v>
      </c>
      <c r="AJ64" s="102">
        <f t="shared" si="192"/>
        <v>0</v>
      </c>
      <c r="AK64" s="102">
        <f t="shared" si="192"/>
        <v>0</v>
      </c>
      <c r="AL64" s="102">
        <f t="shared" si="192"/>
        <v>0</v>
      </c>
      <c r="AM64" s="102">
        <f t="shared" si="192"/>
        <v>0</v>
      </c>
      <c r="AN64" s="102">
        <f t="shared" si="192"/>
        <v>0</v>
      </c>
      <c r="AO64" s="102">
        <f t="shared" si="192"/>
        <v>0</v>
      </c>
      <c r="AP64" s="102">
        <f t="shared" si="192"/>
        <v>0</v>
      </c>
      <c r="AQ64" s="102">
        <f t="shared" si="192"/>
        <v>0</v>
      </c>
      <c r="AR64" s="102">
        <f t="shared" si="192"/>
        <v>0</v>
      </c>
      <c r="AS64" s="102">
        <f t="shared" si="192"/>
        <v>0</v>
      </c>
      <c r="AT64" s="102">
        <f t="shared" si="192"/>
        <v>0</v>
      </c>
      <c r="AU64" s="104">
        <v>0.0</v>
      </c>
      <c r="AV64" s="105"/>
      <c r="AW64" s="106" t="str">
        <f t="shared" si="10"/>
        <v>n.a.</v>
      </c>
      <c r="AX64" s="90" t="s">
        <v>110</v>
      </c>
      <c r="AY64" s="107">
        <v>0.0</v>
      </c>
      <c r="AZ64" s="108">
        <f t="shared" si="11"/>
        <v>0</v>
      </c>
      <c r="BA64" s="109" t="str">
        <f t="shared" si="12"/>
        <v>n.a.</v>
      </c>
      <c r="BB64" s="110">
        <f t="shared" ref="BB64:BF64" si="193">+IFERROR( $AZ64 * CB64, 0 )</f>
        <v>0</v>
      </c>
      <c r="BC64" s="110">
        <f t="shared" si="193"/>
        <v>0</v>
      </c>
      <c r="BD64" s="110">
        <f t="shared" si="193"/>
        <v>0</v>
      </c>
      <c r="BE64" s="110">
        <f t="shared" si="193"/>
        <v>0</v>
      </c>
      <c r="BF64" s="111">
        <f t="shared" si="193"/>
        <v>0</v>
      </c>
      <c r="BG64" s="112"/>
      <c r="BH64" s="113"/>
      <c r="BI64" s="114" t="s">
        <v>27</v>
      </c>
      <c r="BJ64" s="115">
        <v>15.0</v>
      </c>
      <c r="BK64" s="116" t="s">
        <v>111</v>
      </c>
      <c r="BL64" s="117">
        <v>0.04</v>
      </c>
      <c r="BM64" s="118"/>
      <c r="BN64" s="119"/>
      <c r="BO64" s="120">
        <v>0.0</v>
      </c>
      <c r="BP64" s="28">
        <v>0.04</v>
      </c>
      <c r="BQ64" s="43">
        <f t="shared" si="14"/>
        <v>0</v>
      </c>
      <c r="BR64" s="121"/>
      <c r="BS64" s="122"/>
      <c r="BT64" s="20">
        <v>0.0</v>
      </c>
      <c r="BU64" s="20">
        <v>0.0</v>
      </c>
      <c r="BV64" s="20">
        <v>0.0</v>
      </c>
      <c r="BW64" s="20">
        <v>0.0</v>
      </c>
      <c r="BX64" s="155">
        <v>0.0</v>
      </c>
      <c r="BY64" s="156">
        <f t="shared" si="139"/>
        <v>0</v>
      </c>
      <c r="BZ64" s="124">
        <v>0.0</v>
      </c>
      <c r="CA64" s="45">
        <v>5479.0</v>
      </c>
      <c r="CB64" s="125">
        <v>0.7</v>
      </c>
      <c r="CC64" s="125">
        <v>0.2</v>
      </c>
      <c r="CD64" s="125" t="s">
        <v>112</v>
      </c>
      <c r="CE64" s="125" t="s">
        <v>112</v>
      </c>
      <c r="CF64" s="125">
        <v>0.1</v>
      </c>
      <c r="CG64" s="110">
        <f t="shared" ref="CG64:CK64" si="194">+IFERROR( $AV64 * CB64, 0 )</f>
        <v>0</v>
      </c>
      <c r="CH64" s="110">
        <f t="shared" si="194"/>
        <v>0</v>
      </c>
      <c r="CI64" s="110">
        <f t="shared" si="194"/>
        <v>0</v>
      </c>
      <c r="CJ64" s="110">
        <f t="shared" si="194"/>
        <v>0</v>
      </c>
      <c r="CK64" s="110">
        <f t="shared" si="194"/>
        <v>0</v>
      </c>
      <c r="CL64" s="126">
        <f t="shared" si="16"/>
        <v>0</v>
      </c>
      <c r="CM64" s="127">
        <v>3684.0</v>
      </c>
      <c r="CN64" s="128" t="e">
        <v>#N/A</v>
      </c>
      <c r="CO64" s="129" t="str">
        <f t="shared" si="17"/>
        <v>#N/A</v>
      </c>
      <c r="CP64" s="130">
        <v>0.0</v>
      </c>
      <c r="CQ64" s="131">
        <v>0.0</v>
      </c>
      <c r="CR64" s="132">
        <f t="shared" si="18"/>
        <v>0</v>
      </c>
      <c r="CS64" s="45" t="e">
        <v>#N/A</v>
      </c>
      <c r="CU64" s="8" t="s">
        <v>3</v>
      </c>
    </row>
    <row r="65" ht="13.5" customHeight="1" outlineLevel="1">
      <c r="B65" s="134">
        <v>0.0</v>
      </c>
      <c r="C65" s="88">
        <f t="shared" si="5"/>
        <v>58</v>
      </c>
      <c r="D65" s="87"/>
      <c r="E65" s="89"/>
      <c r="F65" s="89"/>
      <c r="G65" s="90"/>
      <c r="H65" s="157"/>
      <c r="I65" s="92"/>
      <c r="J65" s="93"/>
      <c r="K65" s="43">
        <f t="shared" si="6"/>
        <v>0</v>
      </c>
      <c r="L65" s="92">
        <v>1.0</v>
      </c>
      <c r="M65" s="157"/>
      <c r="N65" s="94" t="str">
        <f t="shared" si="7"/>
        <v> | </v>
      </c>
      <c r="O65" s="94"/>
      <c r="P65" s="95"/>
      <c r="Q65" s="95"/>
      <c r="R65" s="154">
        <f t="shared" si="112"/>
        <v>0</v>
      </c>
      <c r="S65" s="95">
        <v>0.0</v>
      </c>
      <c r="T65" s="96">
        <f t="shared" si="8"/>
        <v>0</v>
      </c>
      <c r="U65" s="97"/>
      <c r="V65" s="98" t="s">
        <v>109</v>
      </c>
      <c r="W65" s="99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1"/>
      <c r="AI65" s="102">
        <f t="shared" ref="AI65:AT65" si="195">+ W65 * ( 1 + $AJ$3 )</f>
        <v>0</v>
      </c>
      <c r="AJ65" s="102">
        <f t="shared" si="195"/>
        <v>0</v>
      </c>
      <c r="AK65" s="102">
        <f t="shared" si="195"/>
        <v>0</v>
      </c>
      <c r="AL65" s="102">
        <f t="shared" si="195"/>
        <v>0</v>
      </c>
      <c r="AM65" s="102">
        <f t="shared" si="195"/>
        <v>0</v>
      </c>
      <c r="AN65" s="102">
        <f t="shared" si="195"/>
        <v>0</v>
      </c>
      <c r="AO65" s="102">
        <f t="shared" si="195"/>
        <v>0</v>
      </c>
      <c r="AP65" s="102">
        <f t="shared" si="195"/>
        <v>0</v>
      </c>
      <c r="AQ65" s="102">
        <f t="shared" si="195"/>
        <v>0</v>
      </c>
      <c r="AR65" s="102">
        <f t="shared" si="195"/>
        <v>0</v>
      </c>
      <c r="AS65" s="102">
        <f t="shared" si="195"/>
        <v>0</v>
      </c>
      <c r="AT65" s="102">
        <f t="shared" si="195"/>
        <v>0</v>
      </c>
      <c r="AU65" s="104">
        <v>0.0</v>
      </c>
      <c r="AV65" s="105"/>
      <c r="AW65" s="106" t="str">
        <f t="shared" si="10"/>
        <v>n.a.</v>
      </c>
      <c r="AX65" s="90" t="s">
        <v>110</v>
      </c>
      <c r="AY65" s="107">
        <v>0.0</v>
      </c>
      <c r="AZ65" s="108">
        <f t="shared" si="11"/>
        <v>0</v>
      </c>
      <c r="BA65" s="109" t="str">
        <f t="shared" si="12"/>
        <v>n.a.</v>
      </c>
      <c r="BB65" s="110">
        <f t="shared" ref="BB65:BF65" si="196">+IFERROR( $AZ65 * CB65, 0 )</f>
        <v>0</v>
      </c>
      <c r="BC65" s="110">
        <f t="shared" si="196"/>
        <v>0</v>
      </c>
      <c r="BD65" s="110">
        <f t="shared" si="196"/>
        <v>0</v>
      </c>
      <c r="BE65" s="110">
        <f t="shared" si="196"/>
        <v>0</v>
      </c>
      <c r="BF65" s="111">
        <f t="shared" si="196"/>
        <v>0</v>
      </c>
      <c r="BG65" s="112"/>
      <c r="BH65" s="113"/>
      <c r="BI65" s="114" t="s">
        <v>27</v>
      </c>
      <c r="BJ65" s="115">
        <v>15.0</v>
      </c>
      <c r="BK65" s="116" t="s">
        <v>111</v>
      </c>
      <c r="BL65" s="117">
        <v>0.04</v>
      </c>
      <c r="BM65" s="118"/>
      <c r="BN65" s="119"/>
      <c r="BO65" s="120">
        <v>0.0</v>
      </c>
      <c r="BP65" s="28">
        <v>0.04</v>
      </c>
      <c r="BQ65" s="43">
        <f t="shared" si="14"/>
        <v>0</v>
      </c>
      <c r="BR65" s="121"/>
      <c r="BS65" s="122"/>
      <c r="BT65" s="20">
        <v>0.0</v>
      </c>
      <c r="BU65" s="20">
        <v>0.0</v>
      </c>
      <c r="BV65" s="20">
        <v>0.0</v>
      </c>
      <c r="BW65" s="20">
        <v>0.0</v>
      </c>
      <c r="BX65" s="155">
        <v>0.0</v>
      </c>
      <c r="BY65" s="156">
        <f t="shared" si="139"/>
        <v>0</v>
      </c>
      <c r="BZ65" s="124">
        <v>0.0</v>
      </c>
      <c r="CA65" s="45">
        <v>5479.0</v>
      </c>
      <c r="CB65" s="125">
        <v>0.7</v>
      </c>
      <c r="CC65" s="125">
        <v>0.2</v>
      </c>
      <c r="CD65" s="125" t="s">
        <v>112</v>
      </c>
      <c r="CE65" s="125" t="s">
        <v>112</v>
      </c>
      <c r="CF65" s="125">
        <v>0.1</v>
      </c>
      <c r="CG65" s="110">
        <f t="shared" ref="CG65:CK65" si="197">+IFERROR( $AV65 * CB65, 0 )</f>
        <v>0</v>
      </c>
      <c r="CH65" s="110">
        <f t="shared" si="197"/>
        <v>0</v>
      </c>
      <c r="CI65" s="110">
        <f t="shared" si="197"/>
        <v>0</v>
      </c>
      <c r="CJ65" s="110">
        <f t="shared" si="197"/>
        <v>0</v>
      </c>
      <c r="CK65" s="110">
        <f t="shared" si="197"/>
        <v>0</v>
      </c>
      <c r="CL65" s="126">
        <f t="shared" si="16"/>
        <v>0</v>
      </c>
      <c r="CM65" s="127">
        <v>3684.0</v>
      </c>
      <c r="CN65" s="128" t="e">
        <v>#N/A</v>
      </c>
      <c r="CO65" s="129" t="str">
        <f t="shared" si="17"/>
        <v>#N/A</v>
      </c>
      <c r="CP65" s="130">
        <v>0.0</v>
      </c>
      <c r="CQ65" s="131">
        <v>0.0</v>
      </c>
      <c r="CR65" s="132">
        <f t="shared" si="18"/>
        <v>0</v>
      </c>
      <c r="CS65" s="45" t="e">
        <v>#N/A</v>
      </c>
      <c r="CU65" s="8" t="s">
        <v>3</v>
      </c>
    </row>
    <row r="66" ht="13.5" customHeight="1" outlineLevel="1">
      <c r="B66" s="134">
        <v>0.0</v>
      </c>
      <c r="C66" s="88">
        <f t="shared" si="5"/>
        <v>59</v>
      </c>
      <c r="D66" s="87"/>
      <c r="E66" s="89"/>
      <c r="F66" s="89"/>
      <c r="G66" s="90"/>
      <c r="H66" s="157"/>
      <c r="I66" s="92"/>
      <c r="J66" s="93"/>
      <c r="K66" s="43">
        <f t="shared" si="6"/>
        <v>0</v>
      </c>
      <c r="L66" s="92">
        <v>1.0</v>
      </c>
      <c r="M66" s="157"/>
      <c r="N66" s="94" t="str">
        <f t="shared" si="7"/>
        <v> | </v>
      </c>
      <c r="O66" s="94"/>
      <c r="P66" s="95"/>
      <c r="Q66" s="95"/>
      <c r="R66" s="154">
        <f t="shared" si="112"/>
        <v>0</v>
      </c>
      <c r="S66" s="95">
        <v>0.0</v>
      </c>
      <c r="T66" s="96">
        <f t="shared" si="8"/>
        <v>0</v>
      </c>
      <c r="U66" s="97"/>
      <c r="V66" s="98" t="s">
        <v>109</v>
      </c>
      <c r="W66" s="99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1"/>
      <c r="AI66" s="102">
        <f t="shared" ref="AI66:AT66" si="198">+ W66 * ( 1 + $AJ$3 )</f>
        <v>0</v>
      </c>
      <c r="AJ66" s="102">
        <f t="shared" si="198"/>
        <v>0</v>
      </c>
      <c r="AK66" s="102">
        <f t="shared" si="198"/>
        <v>0</v>
      </c>
      <c r="AL66" s="102">
        <f t="shared" si="198"/>
        <v>0</v>
      </c>
      <c r="AM66" s="102">
        <f t="shared" si="198"/>
        <v>0</v>
      </c>
      <c r="AN66" s="102">
        <f t="shared" si="198"/>
        <v>0</v>
      </c>
      <c r="AO66" s="102">
        <f t="shared" si="198"/>
        <v>0</v>
      </c>
      <c r="AP66" s="102">
        <f t="shared" si="198"/>
        <v>0</v>
      </c>
      <c r="AQ66" s="102">
        <f t="shared" si="198"/>
        <v>0</v>
      </c>
      <c r="AR66" s="102">
        <f t="shared" si="198"/>
        <v>0</v>
      </c>
      <c r="AS66" s="102">
        <f t="shared" si="198"/>
        <v>0</v>
      </c>
      <c r="AT66" s="102">
        <f t="shared" si="198"/>
        <v>0</v>
      </c>
      <c r="AU66" s="104">
        <v>0.0</v>
      </c>
      <c r="AV66" s="105"/>
      <c r="AW66" s="106" t="str">
        <f t="shared" si="10"/>
        <v>n.a.</v>
      </c>
      <c r="AX66" s="90" t="s">
        <v>110</v>
      </c>
      <c r="AY66" s="107">
        <v>0.0</v>
      </c>
      <c r="AZ66" s="108">
        <f t="shared" si="11"/>
        <v>0</v>
      </c>
      <c r="BA66" s="109" t="str">
        <f t="shared" si="12"/>
        <v>n.a.</v>
      </c>
      <c r="BB66" s="110">
        <f t="shared" ref="BB66:BF66" si="199">+IFERROR( $AZ66 * CB66, 0 )</f>
        <v>0</v>
      </c>
      <c r="BC66" s="110">
        <f t="shared" si="199"/>
        <v>0</v>
      </c>
      <c r="BD66" s="110">
        <f t="shared" si="199"/>
        <v>0</v>
      </c>
      <c r="BE66" s="110">
        <f t="shared" si="199"/>
        <v>0</v>
      </c>
      <c r="BF66" s="111">
        <f t="shared" si="199"/>
        <v>0</v>
      </c>
      <c r="BG66" s="112"/>
      <c r="BH66" s="113"/>
      <c r="BI66" s="114" t="s">
        <v>27</v>
      </c>
      <c r="BJ66" s="115">
        <v>15.0</v>
      </c>
      <c r="BK66" s="116" t="s">
        <v>111</v>
      </c>
      <c r="BL66" s="117">
        <v>0.04</v>
      </c>
      <c r="BM66" s="118"/>
      <c r="BN66" s="119"/>
      <c r="BO66" s="120">
        <v>0.0</v>
      </c>
      <c r="BP66" s="28">
        <v>0.04</v>
      </c>
      <c r="BQ66" s="43">
        <f t="shared" si="14"/>
        <v>0</v>
      </c>
      <c r="BR66" s="121"/>
      <c r="BS66" s="122"/>
      <c r="BT66" s="20">
        <v>0.0</v>
      </c>
      <c r="BU66" s="20">
        <v>0.0</v>
      </c>
      <c r="BV66" s="20">
        <v>0.0</v>
      </c>
      <c r="BW66" s="20">
        <v>0.0</v>
      </c>
      <c r="BX66" s="155">
        <v>0.0</v>
      </c>
      <c r="BY66" s="156">
        <f t="shared" si="139"/>
        <v>0</v>
      </c>
      <c r="BZ66" s="124">
        <v>0.0</v>
      </c>
      <c r="CA66" s="45">
        <v>5479.0</v>
      </c>
      <c r="CB66" s="125">
        <v>0.7</v>
      </c>
      <c r="CC66" s="125">
        <v>0.2</v>
      </c>
      <c r="CD66" s="125" t="s">
        <v>112</v>
      </c>
      <c r="CE66" s="125" t="s">
        <v>112</v>
      </c>
      <c r="CF66" s="125">
        <v>0.1</v>
      </c>
      <c r="CG66" s="110">
        <f t="shared" ref="CG66:CK66" si="200">+IFERROR( $AV66 * CB66, 0 )</f>
        <v>0</v>
      </c>
      <c r="CH66" s="110">
        <f t="shared" si="200"/>
        <v>0</v>
      </c>
      <c r="CI66" s="110">
        <f t="shared" si="200"/>
        <v>0</v>
      </c>
      <c r="CJ66" s="110">
        <f t="shared" si="200"/>
        <v>0</v>
      </c>
      <c r="CK66" s="110">
        <f t="shared" si="200"/>
        <v>0</v>
      </c>
      <c r="CL66" s="126">
        <f t="shared" si="16"/>
        <v>0</v>
      </c>
      <c r="CM66" s="127">
        <v>3684.0</v>
      </c>
      <c r="CN66" s="128" t="e">
        <v>#N/A</v>
      </c>
      <c r="CO66" s="129" t="str">
        <f t="shared" si="17"/>
        <v>#N/A</v>
      </c>
      <c r="CP66" s="130">
        <v>0.0</v>
      </c>
      <c r="CQ66" s="131">
        <v>0.0</v>
      </c>
      <c r="CR66" s="132">
        <f t="shared" si="18"/>
        <v>0</v>
      </c>
      <c r="CS66" s="45" t="e">
        <v>#N/A</v>
      </c>
      <c r="CU66" s="8" t="s">
        <v>3</v>
      </c>
    </row>
    <row r="67" ht="13.5" customHeight="1" outlineLevel="1">
      <c r="B67" s="134">
        <v>0.0</v>
      </c>
      <c r="C67" s="88">
        <f t="shared" si="5"/>
        <v>60</v>
      </c>
      <c r="D67" s="87"/>
      <c r="E67" s="89"/>
      <c r="F67" s="89"/>
      <c r="G67" s="90"/>
      <c r="H67" s="157"/>
      <c r="I67" s="92"/>
      <c r="J67" s="93"/>
      <c r="K67" s="43">
        <f t="shared" si="6"/>
        <v>0</v>
      </c>
      <c r="L67" s="92">
        <v>1.0</v>
      </c>
      <c r="M67" s="157"/>
      <c r="N67" s="94" t="str">
        <f t="shared" si="7"/>
        <v> | </v>
      </c>
      <c r="O67" s="94"/>
      <c r="P67" s="95"/>
      <c r="Q67" s="95"/>
      <c r="R67" s="154">
        <f t="shared" si="112"/>
        <v>0</v>
      </c>
      <c r="S67" s="95">
        <v>0.0</v>
      </c>
      <c r="T67" s="96">
        <f t="shared" si="8"/>
        <v>0</v>
      </c>
      <c r="U67" s="97"/>
      <c r="V67" s="98" t="s">
        <v>109</v>
      </c>
      <c r="W67" s="99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1"/>
      <c r="AI67" s="102">
        <f t="shared" ref="AI67:AT67" si="201">+ W67 * ( 1 + $AJ$3 )</f>
        <v>0</v>
      </c>
      <c r="AJ67" s="102">
        <f t="shared" si="201"/>
        <v>0</v>
      </c>
      <c r="AK67" s="102">
        <f t="shared" si="201"/>
        <v>0</v>
      </c>
      <c r="AL67" s="102">
        <f t="shared" si="201"/>
        <v>0</v>
      </c>
      <c r="AM67" s="102">
        <f t="shared" si="201"/>
        <v>0</v>
      </c>
      <c r="AN67" s="102">
        <f t="shared" si="201"/>
        <v>0</v>
      </c>
      <c r="AO67" s="102">
        <f t="shared" si="201"/>
        <v>0</v>
      </c>
      <c r="AP67" s="102">
        <f t="shared" si="201"/>
        <v>0</v>
      </c>
      <c r="AQ67" s="102">
        <f t="shared" si="201"/>
        <v>0</v>
      </c>
      <c r="AR67" s="102">
        <f t="shared" si="201"/>
        <v>0</v>
      </c>
      <c r="AS67" s="102">
        <f t="shared" si="201"/>
        <v>0</v>
      </c>
      <c r="AT67" s="102">
        <f t="shared" si="201"/>
        <v>0</v>
      </c>
      <c r="AU67" s="104">
        <v>0.0</v>
      </c>
      <c r="AV67" s="105"/>
      <c r="AW67" s="106" t="str">
        <f t="shared" si="10"/>
        <v>n.a.</v>
      </c>
      <c r="AX67" s="90" t="s">
        <v>110</v>
      </c>
      <c r="AY67" s="107">
        <v>0.0</v>
      </c>
      <c r="AZ67" s="108">
        <f t="shared" si="11"/>
        <v>0</v>
      </c>
      <c r="BA67" s="109" t="str">
        <f t="shared" si="12"/>
        <v>n.a.</v>
      </c>
      <c r="BB67" s="110">
        <f t="shared" ref="BB67:BF67" si="202">+IFERROR( $AZ67 * CB67, 0 )</f>
        <v>0</v>
      </c>
      <c r="BC67" s="110">
        <f t="shared" si="202"/>
        <v>0</v>
      </c>
      <c r="BD67" s="110">
        <f t="shared" si="202"/>
        <v>0</v>
      </c>
      <c r="BE67" s="110">
        <f t="shared" si="202"/>
        <v>0</v>
      </c>
      <c r="BF67" s="111">
        <f t="shared" si="202"/>
        <v>0</v>
      </c>
      <c r="BG67" s="112"/>
      <c r="BH67" s="113"/>
      <c r="BI67" s="114" t="s">
        <v>27</v>
      </c>
      <c r="BJ67" s="115">
        <v>15.0</v>
      </c>
      <c r="BK67" s="116" t="s">
        <v>111</v>
      </c>
      <c r="BL67" s="117">
        <v>0.04</v>
      </c>
      <c r="BM67" s="118"/>
      <c r="BN67" s="119"/>
      <c r="BO67" s="120">
        <v>0.0</v>
      </c>
      <c r="BP67" s="28">
        <v>0.04</v>
      </c>
      <c r="BQ67" s="43">
        <f t="shared" si="14"/>
        <v>0</v>
      </c>
      <c r="BR67" s="121"/>
      <c r="BS67" s="122"/>
      <c r="BT67" s="20">
        <v>0.0</v>
      </c>
      <c r="BU67" s="20">
        <v>0.0</v>
      </c>
      <c r="BV67" s="20">
        <v>0.0</v>
      </c>
      <c r="BW67" s="20">
        <v>0.0</v>
      </c>
      <c r="BX67" s="155">
        <v>0.0</v>
      </c>
      <c r="BY67" s="156">
        <f t="shared" si="139"/>
        <v>0</v>
      </c>
      <c r="BZ67" s="124">
        <v>0.0</v>
      </c>
      <c r="CA67" s="45">
        <v>5479.0</v>
      </c>
      <c r="CB67" s="125">
        <v>0.7</v>
      </c>
      <c r="CC67" s="125">
        <v>0.2</v>
      </c>
      <c r="CD67" s="125" t="s">
        <v>112</v>
      </c>
      <c r="CE67" s="125" t="s">
        <v>112</v>
      </c>
      <c r="CF67" s="125">
        <v>0.1</v>
      </c>
      <c r="CG67" s="110">
        <f t="shared" ref="CG67:CK67" si="203">+IFERROR( $AV67 * CB67, 0 )</f>
        <v>0</v>
      </c>
      <c r="CH67" s="110">
        <f t="shared" si="203"/>
        <v>0</v>
      </c>
      <c r="CI67" s="110">
        <f t="shared" si="203"/>
        <v>0</v>
      </c>
      <c r="CJ67" s="110">
        <f t="shared" si="203"/>
        <v>0</v>
      </c>
      <c r="CK67" s="110">
        <f t="shared" si="203"/>
        <v>0</v>
      </c>
      <c r="CL67" s="126">
        <f t="shared" si="16"/>
        <v>0</v>
      </c>
      <c r="CM67" s="127">
        <v>3684.0</v>
      </c>
      <c r="CN67" s="128" t="e">
        <v>#N/A</v>
      </c>
      <c r="CO67" s="129" t="str">
        <f t="shared" si="17"/>
        <v>#N/A</v>
      </c>
      <c r="CP67" s="130">
        <v>0.0</v>
      </c>
      <c r="CQ67" s="131">
        <v>0.0</v>
      </c>
      <c r="CR67" s="132">
        <f t="shared" si="18"/>
        <v>0</v>
      </c>
      <c r="CS67" s="45" t="e">
        <v>#N/A</v>
      </c>
      <c r="CU67" s="8" t="s">
        <v>3</v>
      </c>
    </row>
    <row r="68" ht="13.5" customHeight="1" outlineLevel="1">
      <c r="B68" s="134">
        <v>0.0</v>
      </c>
      <c r="C68" s="88">
        <f t="shared" si="5"/>
        <v>61</v>
      </c>
      <c r="D68" s="87"/>
      <c r="E68" s="89"/>
      <c r="F68" s="89"/>
      <c r="G68" s="90"/>
      <c r="H68" s="157"/>
      <c r="I68" s="92"/>
      <c r="J68" s="93"/>
      <c r="K68" s="43">
        <f t="shared" si="6"/>
        <v>0</v>
      </c>
      <c r="L68" s="92">
        <v>1.0</v>
      </c>
      <c r="M68" s="157"/>
      <c r="N68" s="94" t="str">
        <f t="shared" si="7"/>
        <v> | </v>
      </c>
      <c r="O68" s="94"/>
      <c r="P68" s="95"/>
      <c r="Q68" s="95"/>
      <c r="R68" s="154">
        <f t="shared" si="112"/>
        <v>0</v>
      </c>
      <c r="S68" s="95">
        <v>0.0</v>
      </c>
      <c r="T68" s="96">
        <f t="shared" si="8"/>
        <v>0</v>
      </c>
      <c r="U68" s="97"/>
      <c r="V68" s="98" t="s">
        <v>109</v>
      </c>
      <c r="W68" s="99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1"/>
      <c r="AI68" s="102">
        <f t="shared" ref="AI68:AT68" si="204">+ W68 * ( 1 + $AJ$3 )</f>
        <v>0</v>
      </c>
      <c r="AJ68" s="102">
        <f t="shared" si="204"/>
        <v>0</v>
      </c>
      <c r="AK68" s="102">
        <f t="shared" si="204"/>
        <v>0</v>
      </c>
      <c r="AL68" s="102">
        <f t="shared" si="204"/>
        <v>0</v>
      </c>
      <c r="AM68" s="102">
        <f t="shared" si="204"/>
        <v>0</v>
      </c>
      <c r="AN68" s="102">
        <f t="shared" si="204"/>
        <v>0</v>
      </c>
      <c r="AO68" s="102">
        <f t="shared" si="204"/>
        <v>0</v>
      </c>
      <c r="AP68" s="102">
        <f t="shared" si="204"/>
        <v>0</v>
      </c>
      <c r="AQ68" s="102">
        <f t="shared" si="204"/>
        <v>0</v>
      </c>
      <c r="AR68" s="102">
        <f t="shared" si="204"/>
        <v>0</v>
      </c>
      <c r="AS68" s="102">
        <f t="shared" si="204"/>
        <v>0</v>
      </c>
      <c r="AT68" s="102">
        <f t="shared" si="204"/>
        <v>0</v>
      </c>
      <c r="AU68" s="104">
        <v>0.0</v>
      </c>
      <c r="AV68" s="105"/>
      <c r="AW68" s="106" t="str">
        <f t="shared" si="10"/>
        <v>n.a.</v>
      </c>
      <c r="AX68" s="90" t="s">
        <v>110</v>
      </c>
      <c r="AY68" s="107">
        <v>0.0</v>
      </c>
      <c r="AZ68" s="108">
        <f t="shared" si="11"/>
        <v>0</v>
      </c>
      <c r="BA68" s="109" t="str">
        <f t="shared" si="12"/>
        <v>n.a.</v>
      </c>
      <c r="BB68" s="110">
        <f t="shared" ref="BB68:BF68" si="205">+IFERROR( $AZ68 * CB68, 0 )</f>
        <v>0</v>
      </c>
      <c r="BC68" s="110">
        <f t="shared" si="205"/>
        <v>0</v>
      </c>
      <c r="BD68" s="110">
        <f t="shared" si="205"/>
        <v>0</v>
      </c>
      <c r="BE68" s="110">
        <f t="shared" si="205"/>
        <v>0</v>
      </c>
      <c r="BF68" s="111">
        <f t="shared" si="205"/>
        <v>0</v>
      </c>
      <c r="BG68" s="112"/>
      <c r="BH68" s="113"/>
      <c r="BI68" s="114" t="s">
        <v>27</v>
      </c>
      <c r="BJ68" s="115">
        <v>15.0</v>
      </c>
      <c r="BK68" s="116" t="s">
        <v>111</v>
      </c>
      <c r="BL68" s="117">
        <v>0.04</v>
      </c>
      <c r="BM68" s="118"/>
      <c r="BN68" s="119"/>
      <c r="BO68" s="120">
        <v>0.0</v>
      </c>
      <c r="BP68" s="28">
        <v>0.04</v>
      </c>
      <c r="BQ68" s="43">
        <f t="shared" si="14"/>
        <v>0</v>
      </c>
      <c r="BR68" s="121"/>
      <c r="BS68" s="122"/>
      <c r="BT68" s="20">
        <v>0.0</v>
      </c>
      <c r="BU68" s="20">
        <v>0.0</v>
      </c>
      <c r="BV68" s="20">
        <v>0.0</v>
      </c>
      <c r="BW68" s="20">
        <v>0.0</v>
      </c>
      <c r="BX68" s="155">
        <v>0.0</v>
      </c>
      <c r="BY68" s="156">
        <f t="shared" si="139"/>
        <v>0</v>
      </c>
      <c r="BZ68" s="124">
        <v>0.0</v>
      </c>
      <c r="CA68" s="45">
        <v>5479.0</v>
      </c>
      <c r="CB68" s="125">
        <v>0.7</v>
      </c>
      <c r="CC68" s="125">
        <v>0.2</v>
      </c>
      <c r="CD68" s="125" t="s">
        <v>112</v>
      </c>
      <c r="CE68" s="125" t="s">
        <v>112</v>
      </c>
      <c r="CF68" s="125">
        <v>0.1</v>
      </c>
      <c r="CG68" s="110">
        <f t="shared" ref="CG68:CK68" si="206">+IFERROR( $AV68 * CB68, 0 )</f>
        <v>0</v>
      </c>
      <c r="CH68" s="110">
        <f t="shared" si="206"/>
        <v>0</v>
      </c>
      <c r="CI68" s="110">
        <f t="shared" si="206"/>
        <v>0</v>
      </c>
      <c r="CJ68" s="110">
        <f t="shared" si="206"/>
        <v>0</v>
      </c>
      <c r="CK68" s="110">
        <f t="shared" si="206"/>
        <v>0</v>
      </c>
      <c r="CL68" s="126">
        <f t="shared" si="16"/>
        <v>0</v>
      </c>
      <c r="CM68" s="127">
        <v>3684.0</v>
      </c>
      <c r="CN68" s="128" t="e">
        <v>#N/A</v>
      </c>
      <c r="CO68" s="129" t="str">
        <f t="shared" si="17"/>
        <v>#N/A</v>
      </c>
      <c r="CP68" s="130">
        <v>0.0</v>
      </c>
      <c r="CQ68" s="131">
        <v>0.0</v>
      </c>
      <c r="CR68" s="132">
        <f t="shared" si="18"/>
        <v>0</v>
      </c>
      <c r="CS68" s="45" t="e">
        <v>#N/A</v>
      </c>
      <c r="CU68" s="8" t="s">
        <v>3</v>
      </c>
    </row>
    <row r="69" ht="13.5" customHeight="1" outlineLevel="1">
      <c r="B69" s="134">
        <v>0.0</v>
      </c>
      <c r="C69" s="88">
        <f t="shared" si="5"/>
        <v>62</v>
      </c>
      <c r="D69" s="87"/>
      <c r="E69" s="89"/>
      <c r="F69" s="89"/>
      <c r="G69" s="90"/>
      <c r="H69" s="157"/>
      <c r="I69" s="92"/>
      <c r="J69" s="93"/>
      <c r="K69" s="43">
        <f t="shared" si="6"/>
        <v>0</v>
      </c>
      <c r="L69" s="92">
        <v>1.0</v>
      </c>
      <c r="M69" s="157"/>
      <c r="N69" s="94" t="str">
        <f t="shared" si="7"/>
        <v> | </v>
      </c>
      <c r="O69" s="94"/>
      <c r="P69" s="95"/>
      <c r="Q69" s="95"/>
      <c r="R69" s="154">
        <f t="shared" si="112"/>
        <v>0</v>
      </c>
      <c r="S69" s="95">
        <v>0.0</v>
      </c>
      <c r="T69" s="96">
        <f t="shared" si="8"/>
        <v>0</v>
      </c>
      <c r="U69" s="97"/>
      <c r="V69" s="98" t="s">
        <v>109</v>
      </c>
      <c r="W69" s="99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1"/>
      <c r="AI69" s="102">
        <f t="shared" ref="AI69:AT69" si="207">+ W69 * ( 1 + $AJ$3 )</f>
        <v>0</v>
      </c>
      <c r="AJ69" s="102">
        <f t="shared" si="207"/>
        <v>0</v>
      </c>
      <c r="AK69" s="102">
        <f t="shared" si="207"/>
        <v>0</v>
      </c>
      <c r="AL69" s="102">
        <f t="shared" si="207"/>
        <v>0</v>
      </c>
      <c r="AM69" s="102">
        <f t="shared" si="207"/>
        <v>0</v>
      </c>
      <c r="AN69" s="102">
        <f t="shared" si="207"/>
        <v>0</v>
      </c>
      <c r="AO69" s="102">
        <f t="shared" si="207"/>
        <v>0</v>
      </c>
      <c r="AP69" s="102">
        <f t="shared" si="207"/>
        <v>0</v>
      </c>
      <c r="AQ69" s="102">
        <f t="shared" si="207"/>
        <v>0</v>
      </c>
      <c r="AR69" s="102">
        <f t="shared" si="207"/>
        <v>0</v>
      </c>
      <c r="AS69" s="102">
        <f t="shared" si="207"/>
        <v>0</v>
      </c>
      <c r="AT69" s="102">
        <f t="shared" si="207"/>
        <v>0</v>
      </c>
      <c r="AU69" s="104">
        <v>0.0</v>
      </c>
      <c r="AV69" s="105"/>
      <c r="AW69" s="106" t="str">
        <f t="shared" si="10"/>
        <v>n.a.</v>
      </c>
      <c r="AX69" s="90" t="s">
        <v>110</v>
      </c>
      <c r="AY69" s="107">
        <v>0.0</v>
      </c>
      <c r="AZ69" s="108">
        <f t="shared" si="11"/>
        <v>0</v>
      </c>
      <c r="BA69" s="109" t="str">
        <f t="shared" si="12"/>
        <v>n.a.</v>
      </c>
      <c r="BB69" s="110">
        <f t="shared" ref="BB69:BF69" si="208">+IFERROR( $AZ69 * CB69, 0 )</f>
        <v>0</v>
      </c>
      <c r="BC69" s="110">
        <f t="shared" si="208"/>
        <v>0</v>
      </c>
      <c r="BD69" s="110">
        <f t="shared" si="208"/>
        <v>0</v>
      </c>
      <c r="BE69" s="110">
        <f t="shared" si="208"/>
        <v>0</v>
      </c>
      <c r="BF69" s="111">
        <f t="shared" si="208"/>
        <v>0</v>
      </c>
      <c r="BG69" s="112"/>
      <c r="BH69" s="113"/>
      <c r="BI69" s="114" t="s">
        <v>27</v>
      </c>
      <c r="BJ69" s="115">
        <v>15.0</v>
      </c>
      <c r="BK69" s="116" t="s">
        <v>111</v>
      </c>
      <c r="BL69" s="117">
        <v>0.04</v>
      </c>
      <c r="BM69" s="118"/>
      <c r="BN69" s="119"/>
      <c r="BO69" s="120">
        <v>0.0</v>
      </c>
      <c r="BP69" s="28">
        <v>0.04</v>
      </c>
      <c r="BQ69" s="43">
        <f t="shared" si="14"/>
        <v>0</v>
      </c>
      <c r="BR69" s="121"/>
      <c r="BS69" s="122"/>
      <c r="BT69" s="20">
        <v>0.0</v>
      </c>
      <c r="BU69" s="20">
        <v>0.0</v>
      </c>
      <c r="BV69" s="20">
        <v>0.0</v>
      </c>
      <c r="BW69" s="20">
        <v>0.0</v>
      </c>
      <c r="BX69" s="155">
        <v>0.0</v>
      </c>
      <c r="BY69" s="156">
        <f t="shared" si="139"/>
        <v>0</v>
      </c>
      <c r="BZ69" s="124">
        <v>0.0</v>
      </c>
      <c r="CA69" s="45">
        <v>5479.0</v>
      </c>
      <c r="CB69" s="125">
        <v>0.7</v>
      </c>
      <c r="CC69" s="125">
        <v>0.2</v>
      </c>
      <c r="CD69" s="125" t="s">
        <v>112</v>
      </c>
      <c r="CE69" s="125" t="s">
        <v>112</v>
      </c>
      <c r="CF69" s="125">
        <v>0.1</v>
      </c>
      <c r="CG69" s="110">
        <f t="shared" ref="CG69:CK69" si="209">+IFERROR( $AV69 * CB69, 0 )</f>
        <v>0</v>
      </c>
      <c r="CH69" s="110">
        <f t="shared" si="209"/>
        <v>0</v>
      </c>
      <c r="CI69" s="110">
        <f t="shared" si="209"/>
        <v>0</v>
      </c>
      <c r="CJ69" s="110">
        <f t="shared" si="209"/>
        <v>0</v>
      </c>
      <c r="CK69" s="110">
        <f t="shared" si="209"/>
        <v>0</v>
      </c>
      <c r="CL69" s="126">
        <f t="shared" si="16"/>
        <v>0</v>
      </c>
      <c r="CM69" s="127">
        <v>3684.0</v>
      </c>
      <c r="CN69" s="128" t="e">
        <v>#N/A</v>
      </c>
      <c r="CO69" s="129" t="str">
        <f t="shared" si="17"/>
        <v>#N/A</v>
      </c>
      <c r="CP69" s="130">
        <v>0.0</v>
      </c>
      <c r="CQ69" s="131">
        <v>0.0</v>
      </c>
      <c r="CR69" s="132">
        <f t="shared" si="18"/>
        <v>0</v>
      </c>
      <c r="CS69" s="45" t="e">
        <v>#N/A</v>
      </c>
      <c r="CU69" s="8" t="s">
        <v>3</v>
      </c>
    </row>
    <row r="70" ht="13.5" customHeight="1" outlineLevel="1">
      <c r="B70" s="134">
        <v>0.0</v>
      </c>
      <c r="C70" s="88">
        <f t="shared" si="5"/>
        <v>63</v>
      </c>
      <c r="D70" s="87"/>
      <c r="E70" s="89"/>
      <c r="F70" s="89"/>
      <c r="G70" s="90"/>
      <c r="H70" s="157"/>
      <c r="I70" s="92"/>
      <c r="J70" s="93"/>
      <c r="K70" s="43">
        <f t="shared" si="6"/>
        <v>0</v>
      </c>
      <c r="L70" s="92">
        <v>1.0</v>
      </c>
      <c r="M70" s="157"/>
      <c r="N70" s="94" t="str">
        <f t="shared" si="7"/>
        <v> | </v>
      </c>
      <c r="O70" s="94"/>
      <c r="P70" s="95"/>
      <c r="Q70" s="95"/>
      <c r="R70" s="154">
        <f t="shared" si="112"/>
        <v>0</v>
      </c>
      <c r="S70" s="95">
        <v>0.0</v>
      </c>
      <c r="T70" s="96">
        <f t="shared" si="8"/>
        <v>0</v>
      </c>
      <c r="U70" s="97"/>
      <c r="V70" s="98" t="s">
        <v>109</v>
      </c>
      <c r="W70" s="99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1"/>
      <c r="AI70" s="102">
        <f t="shared" ref="AI70:AT70" si="210">+ W70 * ( 1 + $AJ$3 )</f>
        <v>0</v>
      </c>
      <c r="AJ70" s="102">
        <f t="shared" si="210"/>
        <v>0</v>
      </c>
      <c r="AK70" s="102">
        <f t="shared" si="210"/>
        <v>0</v>
      </c>
      <c r="AL70" s="102">
        <f t="shared" si="210"/>
        <v>0</v>
      </c>
      <c r="AM70" s="102">
        <f t="shared" si="210"/>
        <v>0</v>
      </c>
      <c r="AN70" s="102">
        <f t="shared" si="210"/>
        <v>0</v>
      </c>
      <c r="AO70" s="102">
        <f t="shared" si="210"/>
        <v>0</v>
      </c>
      <c r="AP70" s="102">
        <f t="shared" si="210"/>
        <v>0</v>
      </c>
      <c r="AQ70" s="102">
        <f t="shared" si="210"/>
        <v>0</v>
      </c>
      <c r="AR70" s="102">
        <f t="shared" si="210"/>
        <v>0</v>
      </c>
      <c r="AS70" s="102">
        <f t="shared" si="210"/>
        <v>0</v>
      </c>
      <c r="AT70" s="102">
        <f t="shared" si="210"/>
        <v>0</v>
      </c>
      <c r="AU70" s="104">
        <v>0.0</v>
      </c>
      <c r="AV70" s="105"/>
      <c r="AW70" s="106" t="str">
        <f t="shared" si="10"/>
        <v>n.a.</v>
      </c>
      <c r="AX70" s="90" t="s">
        <v>110</v>
      </c>
      <c r="AY70" s="107">
        <v>0.0</v>
      </c>
      <c r="AZ70" s="108">
        <f t="shared" si="11"/>
        <v>0</v>
      </c>
      <c r="BA70" s="109" t="str">
        <f t="shared" si="12"/>
        <v>n.a.</v>
      </c>
      <c r="BB70" s="110">
        <f t="shared" ref="BB70:BF70" si="211">+IFERROR( $AZ70 * CB70, 0 )</f>
        <v>0</v>
      </c>
      <c r="BC70" s="110">
        <f t="shared" si="211"/>
        <v>0</v>
      </c>
      <c r="BD70" s="110">
        <f t="shared" si="211"/>
        <v>0</v>
      </c>
      <c r="BE70" s="110">
        <f t="shared" si="211"/>
        <v>0</v>
      </c>
      <c r="BF70" s="111">
        <f t="shared" si="211"/>
        <v>0</v>
      </c>
      <c r="BG70" s="112"/>
      <c r="BH70" s="113"/>
      <c r="BI70" s="114" t="s">
        <v>27</v>
      </c>
      <c r="BJ70" s="115">
        <v>15.0</v>
      </c>
      <c r="BK70" s="116" t="s">
        <v>111</v>
      </c>
      <c r="BL70" s="117">
        <v>0.04</v>
      </c>
      <c r="BM70" s="118"/>
      <c r="BN70" s="119"/>
      <c r="BO70" s="120">
        <v>0.0</v>
      </c>
      <c r="BP70" s="28">
        <v>0.04</v>
      </c>
      <c r="BQ70" s="43">
        <f t="shared" si="14"/>
        <v>0</v>
      </c>
      <c r="BR70" s="121"/>
      <c r="BS70" s="122"/>
      <c r="BT70" s="20">
        <v>0.0</v>
      </c>
      <c r="BU70" s="20">
        <v>0.0</v>
      </c>
      <c r="BV70" s="20">
        <v>0.0</v>
      </c>
      <c r="BW70" s="20">
        <v>0.0</v>
      </c>
      <c r="BX70" s="155">
        <v>0.0</v>
      </c>
      <c r="BY70" s="156">
        <f t="shared" si="139"/>
        <v>0</v>
      </c>
      <c r="BZ70" s="124">
        <v>0.0</v>
      </c>
      <c r="CA70" s="45">
        <v>5479.0</v>
      </c>
      <c r="CB70" s="125">
        <v>0.7</v>
      </c>
      <c r="CC70" s="125">
        <v>0.2</v>
      </c>
      <c r="CD70" s="125" t="s">
        <v>112</v>
      </c>
      <c r="CE70" s="125" t="s">
        <v>112</v>
      </c>
      <c r="CF70" s="125">
        <v>0.1</v>
      </c>
      <c r="CG70" s="110">
        <f t="shared" ref="CG70:CK70" si="212">+IFERROR( $AV70 * CB70, 0 )</f>
        <v>0</v>
      </c>
      <c r="CH70" s="110">
        <f t="shared" si="212"/>
        <v>0</v>
      </c>
      <c r="CI70" s="110">
        <f t="shared" si="212"/>
        <v>0</v>
      </c>
      <c r="CJ70" s="110">
        <f t="shared" si="212"/>
        <v>0</v>
      </c>
      <c r="CK70" s="110">
        <f t="shared" si="212"/>
        <v>0</v>
      </c>
      <c r="CL70" s="126">
        <f t="shared" si="16"/>
        <v>0</v>
      </c>
      <c r="CM70" s="127">
        <v>3684.0</v>
      </c>
      <c r="CN70" s="128" t="e">
        <v>#N/A</v>
      </c>
      <c r="CO70" s="129" t="str">
        <f t="shared" si="17"/>
        <v>#N/A</v>
      </c>
      <c r="CP70" s="130">
        <v>0.0</v>
      </c>
      <c r="CQ70" s="131">
        <v>0.0</v>
      </c>
      <c r="CR70" s="132">
        <f t="shared" si="18"/>
        <v>0</v>
      </c>
      <c r="CS70" s="45" t="e">
        <v>#N/A</v>
      </c>
      <c r="CU70" s="8" t="s">
        <v>3</v>
      </c>
    </row>
    <row r="71" ht="13.5" customHeight="1" outlineLevel="1">
      <c r="B71" s="134">
        <v>0.0</v>
      </c>
      <c r="C71" s="88">
        <f t="shared" si="5"/>
        <v>64</v>
      </c>
      <c r="D71" s="87"/>
      <c r="E71" s="89"/>
      <c r="F71" s="89"/>
      <c r="G71" s="90"/>
      <c r="H71" s="157"/>
      <c r="I71" s="92"/>
      <c r="J71" s="93"/>
      <c r="K71" s="43">
        <f t="shared" si="6"/>
        <v>0</v>
      </c>
      <c r="L71" s="92">
        <v>1.0</v>
      </c>
      <c r="M71" s="157"/>
      <c r="N71" s="94" t="str">
        <f t="shared" si="7"/>
        <v> | </v>
      </c>
      <c r="O71" s="94"/>
      <c r="P71" s="95"/>
      <c r="Q71" s="95"/>
      <c r="R71" s="154">
        <f t="shared" si="112"/>
        <v>0</v>
      </c>
      <c r="S71" s="95">
        <v>0.0</v>
      </c>
      <c r="T71" s="96">
        <f t="shared" si="8"/>
        <v>0</v>
      </c>
      <c r="U71" s="97"/>
      <c r="V71" s="98" t="s">
        <v>109</v>
      </c>
      <c r="W71" s="99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1"/>
      <c r="AI71" s="102">
        <f t="shared" ref="AI71:AT71" si="213">+ W71 * ( 1 + $AJ$3 )</f>
        <v>0</v>
      </c>
      <c r="AJ71" s="102">
        <f t="shared" si="213"/>
        <v>0</v>
      </c>
      <c r="AK71" s="102">
        <f t="shared" si="213"/>
        <v>0</v>
      </c>
      <c r="AL71" s="102">
        <f t="shared" si="213"/>
        <v>0</v>
      </c>
      <c r="AM71" s="102">
        <f t="shared" si="213"/>
        <v>0</v>
      </c>
      <c r="AN71" s="102">
        <f t="shared" si="213"/>
        <v>0</v>
      </c>
      <c r="AO71" s="102">
        <f t="shared" si="213"/>
        <v>0</v>
      </c>
      <c r="AP71" s="102">
        <f t="shared" si="213"/>
        <v>0</v>
      </c>
      <c r="AQ71" s="102">
        <f t="shared" si="213"/>
        <v>0</v>
      </c>
      <c r="AR71" s="102">
        <f t="shared" si="213"/>
        <v>0</v>
      </c>
      <c r="AS71" s="102">
        <f t="shared" si="213"/>
        <v>0</v>
      </c>
      <c r="AT71" s="102">
        <f t="shared" si="213"/>
        <v>0</v>
      </c>
      <c r="AU71" s="104">
        <v>0.0</v>
      </c>
      <c r="AV71" s="105"/>
      <c r="AW71" s="106" t="str">
        <f t="shared" si="10"/>
        <v>n.a.</v>
      </c>
      <c r="AX71" s="90" t="s">
        <v>110</v>
      </c>
      <c r="AY71" s="107">
        <v>0.0</v>
      </c>
      <c r="AZ71" s="108">
        <f t="shared" si="11"/>
        <v>0</v>
      </c>
      <c r="BA71" s="109" t="str">
        <f t="shared" si="12"/>
        <v>n.a.</v>
      </c>
      <c r="BB71" s="110">
        <f t="shared" ref="BB71:BF71" si="214">+IFERROR( $AZ71 * CB71, 0 )</f>
        <v>0</v>
      </c>
      <c r="BC71" s="110">
        <f t="shared" si="214"/>
        <v>0</v>
      </c>
      <c r="BD71" s="110">
        <f t="shared" si="214"/>
        <v>0</v>
      </c>
      <c r="BE71" s="110">
        <f t="shared" si="214"/>
        <v>0</v>
      </c>
      <c r="BF71" s="111">
        <f t="shared" si="214"/>
        <v>0</v>
      </c>
      <c r="BG71" s="112"/>
      <c r="BH71" s="113"/>
      <c r="BI71" s="114" t="s">
        <v>27</v>
      </c>
      <c r="BJ71" s="115">
        <v>15.0</v>
      </c>
      <c r="BK71" s="116" t="s">
        <v>111</v>
      </c>
      <c r="BL71" s="117">
        <v>0.04</v>
      </c>
      <c r="BM71" s="118"/>
      <c r="BN71" s="119"/>
      <c r="BO71" s="120">
        <v>0.0</v>
      </c>
      <c r="BP71" s="28">
        <v>0.04</v>
      </c>
      <c r="BQ71" s="43">
        <f t="shared" si="14"/>
        <v>0</v>
      </c>
      <c r="BR71" s="121"/>
      <c r="BS71" s="122"/>
      <c r="BT71" s="20">
        <v>0.0</v>
      </c>
      <c r="BU71" s="20">
        <v>0.0</v>
      </c>
      <c r="BV71" s="20">
        <v>0.0</v>
      </c>
      <c r="BW71" s="20">
        <v>0.0</v>
      </c>
      <c r="BX71" s="155">
        <v>0.0</v>
      </c>
      <c r="BY71" s="156">
        <f t="shared" si="139"/>
        <v>0</v>
      </c>
      <c r="BZ71" s="124">
        <v>0.0</v>
      </c>
      <c r="CA71" s="45">
        <v>5479.0</v>
      </c>
      <c r="CB71" s="125">
        <v>0.7</v>
      </c>
      <c r="CC71" s="125">
        <v>0.2</v>
      </c>
      <c r="CD71" s="125" t="s">
        <v>112</v>
      </c>
      <c r="CE71" s="125" t="s">
        <v>112</v>
      </c>
      <c r="CF71" s="125">
        <v>0.1</v>
      </c>
      <c r="CG71" s="110">
        <f t="shared" ref="CG71:CK71" si="215">+IFERROR( $AV71 * CB71, 0 )</f>
        <v>0</v>
      </c>
      <c r="CH71" s="110">
        <f t="shared" si="215"/>
        <v>0</v>
      </c>
      <c r="CI71" s="110">
        <f t="shared" si="215"/>
        <v>0</v>
      </c>
      <c r="CJ71" s="110">
        <f t="shared" si="215"/>
        <v>0</v>
      </c>
      <c r="CK71" s="110">
        <f t="shared" si="215"/>
        <v>0</v>
      </c>
      <c r="CL71" s="126">
        <f t="shared" si="16"/>
        <v>0</v>
      </c>
      <c r="CM71" s="127">
        <v>3684.0</v>
      </c>
      <c r="CN71" s="128" t="e">
        <v>#N/A</v>
      </c>
      <c r="CO71" s="129" t="str">
        <f t="shared" si="17"/>
        <v>#N/A</v>
      </c>
      <c r="CP71" s="130">
        <v>0.0</v>
      </c>
      <c r="CQ71" s="131">
        <v>0.0</v>
      </c>
      <c r="CR71" s="132">
        <f t="shared" si="18"/>
        <v>0</v>
      </c>
      <c r="CS71" s="45" t="e">
        <v>#N/A</v>
      </c>
      <c r="CU71" s="8" t="s">
        <v>3</v>
      </c>
    </row>
    <row r="72" ht="13.5" customHeight="1" outlineLevel="1">
      <c r="B72" s="134">
        <v>0.0</v>
      </c>
      <c r="C72" s="88">
        <f t="shared" si="5"/>
        <v>65</v>
      </c>
      <c r="D72" s="87"/>
      <c r="E72" s="89"/>
      <c r="F72" s="89"/>
      <c r="G72" s="90"/>
      <c r="H72" s="157"/>
      <c r="I72" s="92"/>
      <c r="J72" s="93"/>
      <c r="K72" s="43">
        <f t="shared" si="6"/>
        <v>0</v>
      </c>
      <c r="L72" s="92">
        <v>1.0</v>
      </c>
      <c r="M72" s="157"/>
      <c r="N72" s="94" t="str">
        <f t="shared" si="7"/>
        <v> | </v>
      </c>
      <c r="O72" s="94"/>
      <c r="P72" s="95"/>
      <c r="Q72" s="95"/>
      <c r="R72" s="154">
        <f t="shared" si="112"/>
        <v>0</v>
      </c>
      <c r="S72" s="95">
        <v>0.0</v>
      </c>
      <c r="T72" s="96">
        <f t="shared" si="8"/>
        <v>0</v>
      </c>
      <c r="U72" s="97"/>
      <c r="V72" s="98" t="s">
        <v>109</v>
      </c>
      <c r="W72" s="99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1"/>
      <c r="AI72" s="102">
        <f t="shared" ref="AI72:AT72" si="216">+ W72 * ( 1 + $AJ$3 )</f>
        <v>0</v>
      </c>
      <c r="AJ72" s="102">
        <f t="shared" si="216"/>
        <v>0</v>
      </c>
      <c r="AK72" s="102">
        <f t="shared" si="216"/>
        <v>0</v>
      </c>
      <c r="AL72" s="102">
        <f t="shared" si="216"/>
        <v>0</v>
      </c>
      <c r="AM72" s="102">
        <f t="shared" si="216"/>
        <v>0</v>
      </c>
      <c r="AN72" s="102">
        <f t="shared" si="216"/>
        <v>0</v>
      </c>
      <c r="AO72" s="102">
        <f t="shared" si="216"/>
        <v>0</v>
      </c>
      <c r="AP72" s="102">
        <f t="shared" si="216"/>
        <v>0</v>
      </c>
      <c r="AQ72" s="102">
        <f t="shared" si="216"/>
        <v>0</v>
      </c>
      <c r="AR72" s="102">
        <f t="shared" si="216"/>
        <v>0</v>
      </c>
      <c r="AS72" s="102">
        <f t="shared" si="216"/>
        <v>0</v>
      </c>
      <c r="AT72" s="102">
        <f t="shared" si="216"/>
        <v>0</v>
      </c>
      <c r="AU72" s="104">
        <v>0.0</v>
      </c>
      <c r="AV72" s="105"/>
      <c r="AW72" s="106" t="str">
        <f t="shared" si="10"/>
        <v>n.a.</v>
      </c>
      <c r="AX72" s="90" t="s">
        <v>110</v>
      </c>
      <c r="AY72" s="107">
        <v>0.0</v>
      </c>
      <c r="AZ72" s="108">
        <f t="shared" si="11"/>
        <v>0</v>
      </c>
      <c r="BA72" s="109" t="str">
        <f t="shared" si="12"/>
        <v>n.a.</v>
      </c>
      <c r="BB72" s="110">
        <f t="shared" ref="BB72:BF72" si="217">+IFERROR( $AZ72 * CB72, 0 )</f>
        <v>0</v>
      </c>
      <c r="BC72" s="110">
        <f t="shared" si="217"/>
        <v>0</v>
      </c>
      <c r="BD72" s="110">
        <f t="shared" si="217"/>
        <v>0</v>
      </c>
      <c r="BE72" s="110">
        <f t="shared" si="217"/>
        <v>0</v>
      </c>
      <c r="BF72" s="111">
        <f t="shared" si="217"/>
        <v>0</v>
      </c>
      <c r="BG72" s="112"/>
      <c r="BH72" s="113"/>
      <c r="BI72" s="114" t="s">
        <v>27</v>
      </c>
      <c r="BJ72" s="115">
        <v>15.0</v>
      </c>
      <c r="BK72" s="116" t="s">
        <v>111</v>
      </c>
      <c r="BL72" s="117">
        <v>0.04</v>
      </c>
      <c r="BM72" s="118"/>
      <c r="BN72" s="119"/>
      <c r="BO72" s="120">
        <v>0.0</v>
      </c>
      <c r="BP72" s="28">
        <v>0.04</v>
      </c>
      <c r="BQ72" s="43">
        <f t="shared" si="14"/>
        <v>0</v>
      </c>
      <c r="BR72" s="121"/>
      <c r="BS72" s="122"/>
      <c r="BT72" s="20">
        <v>0.0</v>
      </c>
      <c r="BU72" s="20">
        <v>0.0</v>
      </c>
      <c r="BV72" s="20">
        <v>0.0</v>
      </c>
      <c r="BW72" s="20">
        <v>0.0</v>
      </c>
      <c r="BX72" s="155">
        <v>0.0</v>
      </c>
      <c r="BY72" s="156">
        <f t="shared" si="139"/>
        <v>0</v>
      </c>
      <c r="BZ72" s="124">
        <v>0.0</v>
      </c>
      <c r="CA72" s="45">
        <v>5479.0</v>
      </c>
      <c r="CB72" s="125">
        <v>0.7</v>
      </c>
      <c r="CC72" s="125">
        <v>0.2</v>
      </c>
      <c r="CD72" s="125" t="s">
        <v>112</v>
      </c>
      <c r="CE72" s="125" t="s">
        <v>112</v>
      </c>
      <c r="CF72" s="125">
        <v>0.1</v>
      </c>
      <c r="CG72" s="110">
        <f t="shared" ref="CG72:CK72" si="218">+IFERROR( $AV72 * CB72, 0 )</f>
        <v>0</v>
      </c>
      <c r="CH72" s="110">
        <f t="shared" si="218"/>
        <v>0</v>
      </c>
      <c r="CI72" s="110">
        <f t="shared" si="218"/>
        <v>0</v>
      </c>
      <c r="CJ72" s="110">
        <f t="shared" si="218"/>
        <v>0</v>
      </c>
      <c r="CK72" s="110">
        <f t="shared" si="218"/>
        <v>0</v>
      </c>
      <c r="CL72" s="126">
        <f t="shared" si="16"/>
        <v>0</v>
      </c>
      <c r="CM72" s="127">
        <v>3684.0</v>
      </c>
      <c r="CN72" s="128" t="e">
        <v>#N/A</v>
      </c>
      <c r="CO72" s="129" t="str">
        <f t="shared" si="17"/>
        <v>#N/A</v>
      </c>
      <c r="CP72" s="130">
        <v>0.0</v>
      </c>
      <c r="CQ72" s="131">
        <v>0.0</v>
      </c>
      <c r="CR72" s="132">
        <f t="shared" si="18"/>
        <v>0</v>
      </c>
      <c r="CS72" s="45" t="e">
        <v>#N/A</v>
      </c>
      <c r="CU72" s="8" t="s">
        <v>3</v>
      </c>
    </row>
    <row r="73" ht="13.5" customHeight="1" outlineLevel="1">
      <c r="B73" s="134">
        <v>0.0</v>
      </c>
      <c r="C73" s="88">
        <f t="shared" si="5"/>
        <v>66</v>
      </c>
      <c r="D73" s="87"/>
      <c r="E73" s="89"/>
      <c r="F73" s="89"/>
      <c r="G73" s="90"/>
      <c r="H73" s="157"/>
      <c r="I73" s="92"/>
      <c r="J73" s="93"/>
      <c r="K73" s="43">
        <f t="shared" si="6"/>
        <v>0</v>
      </c>
      <c r="L73" s="92">
        <v>1.0</v>
      </c>
      <c r="M73" s="157"/>
      <c r="N73" s="94" t="str">
        <f t="shared" si="7"/>
        <v> | </v>
      </c>
      <c r="O73" s="94"/>
      <c r="P73" s="95"/>
      <c r="Q73" s="95"/>
      <c r="R73" s="154">
        <f t="shared" si="112"/>
        <v>0</v>
      </c>
      <c r="S73" s="95">
        <v>0.0</v>
      </c>
      <c r="T73" s="96">
        <f t="shared" si="8"/>
        <v>0</v>
      </c>
      <c r="U73" s="97"/>
      <c r="V73" s="98" t="s">
        <v>109</v>
      </c>
      <c r="W73" s="99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1"/>
      <c r="AI73" s="102">
        <f t="shared" ref="AI73:AT73" si="219">+ W73 * ( 1 + $AJ$3 )</f>
        <v>0</v>
      </c>
      <c r="AJ73" s="102">
        <f t="shared" si="219"/>
        <v>0</v>
      </c>
      <c r="AK73" s="102">
        <f t="shared" si="219"/>
        <v>0</v>
      </c>
      <c r="AL73" s="102">
        <f t="shared" si="219"/>
        <v>0</v>
      </c>
      <c r="AM73" s="102">
        <f t="shared" si="219"/>
        <v>0</v>
      </c>
      <c r="AN73" s="102">
        <f t="shared" si="219"/>
        <v>0</v>
      </c>
      <c r="AO73" s="102">
        <f t="shared" si="219"/>
        <v>0</v>
      </c>
      <c r="AP73" s="102">
        <f t="shared" si="219"/>
        <v>0</v>
      </c>
      <c r="AQ73" s="102">
        <f t="shared" si="219"/>
        <v>0</v>
      </c>
      <c r="AR73" s="102">
        <f t="shared" si="219"/>
        <v>0</v>
      </c>
      <c r="AS73" s="102">
        <f t="shared" si="219"/>
        <v>0</v>
      </c>
      <c r="AT73" s="102">
        <f t="shared" si="219"/>
        <v>0</v>
      </c>
      <c r="AU73" s="104">
        <v>0.0</v>
      </c>
      <c r="AV73" s="105"/>
      <c r="AW73" s="106" t="str">
        <f t="shared" si="10"/>
        <v>n.a.</v>
      </c>
      <c r="AX73" s="90" t="s">
        <v>110</v>
      </c>
      <c r="AY73" s="107">
        <v>0.0</v>
      </c>
      <c r="AZ73" s="108">
        <f t="shared" si="11"/>
        <v>0</v>
      </c>
      <c r="BA73" s="109" t="str">
        <f t="shared" si="12"/>
        <v>n.a.</v>
      </c>
      <c r="BB73" s="110">
        <f t="shared" ref="BB73:BF73" si="220">+IFERROR( $AZ73 * CB73, 0 )</f>
        <v>0</v>
      </c>
      <c r="BC73" s="110">
        <f t="shared" si="220"/>
        <v>0</v>
      </c>
      <c r="BD73" s="110">
        <f t="shared" si="220"/>
        <v>0</v>
      </c>
      <c r="BE73" s="110">
        <f t="shared" si="220"/>
        <v>0</v>
      </c>
      <c r="BF73" s="111">
        <f t="shared" si="220"/>
        <v>0</v>
      </c>
      <c r="BG73" s="112"/>
      <c r="BH73" s="113"/>
      <c r="BI73" s="114" t="s">
        <v>27</v>
      </c>
      <c r="BJ73" s="115">
        <v>15.0</v>
      </c>
      <c r="BK73" s="116" t="s">
        <v>111</v>
      </c>
      <c r="BL73" s="117">
        <v>0.04</v>
      </c>
      <c r="BM73" s="118"/>
      <c r="BN73" s="119"/>
      <c r="BO73" s="120">
        <v>0.0</v>
      </c>
      <c r="BP73" s="28">
        <v>0.04</v>
      </c>
      <c r="BQ73" s="43">
        <f t="shared" si="14"/>
        <v>0</v>
      </c>
      <c r="BR73" s="121"/>
      <c r="BS73" s="122"/>
      <c r="BT73" s="20">
        <v>0.0</v>
      </c>
      <c r="BU73" s="20">
        <v>0.0</v>
      </c>
      <c r="BV73" s="20">
        <v>0.0</v>
      </c>
      <c r="BW73" s="20">
        <v>0.0</v>
      </c>
      <c r="BX73" s="155">
        <v>0.0</v>
      </c>
      <c r="BY73" s="156">
        <f t="shared" si="139"/>
        <v>0</v>
      </c>
      <c r="BZ73" s="124">
        <v>0.0</v>
      </c>
      <c r="CA73" s="45">
        <v>5479.0</v>
      </c>
      <c r="CB73" s="125">
        <v>0.7</v>
      </c>
      <c r="CC73" s="125">
        <v>0.2</v>
      </c>
      <c r="CD73" s="125" t="s">
        <v>112</v>
      </c>
      <c r="CE73" s="125" t="s">
        <v>112</v>
      </c>
      <c r="CF73" s="125">
        <v>0.1</v>
      </c>
      <c r="CG73" s="110">
        <f t="shared" ref="CG73:CK73" si="221">+IFERROR( $AV73 * CB73, 0 )</f>
        <v>0</v>
      </c>
      <c r="CH73" s="110">
        <f t="shared" si="221"/>
        <v>0</v>
      </c>
      <c r="CI73" s="110">
        <f t="shared" si="221"/>
        <v>0</v>
      </c>
      <c r="CJ73" s="110">
        <f t="shared" si="221"/>
        <v>0</v>
      </c>
      <c r="CK73" s="110">
        <f t="shared" si="221"/>
        <v>0</v>
      </c>
      <c r="CL73" s="126">
        <f t="shared" si="16"/>
        <v>0</v>
      </c>
      <c r="CM73" s="127">
        <v>3684.0</v>
      </c>
      <c r="CN73" s="128" t="e">
        <v>#N/A</v>
      </c>
      <c r="CO73" s="129" t="str">
        <f t="shared" si="17"/>
        <v>#N/A</v>
      </c>
      <c r="CP73" s="130">
        <v>0.0</v>
      </c>
      <c r="CQ73" s="131">
        <v>0.0</v>
      </c>
      <c r="CR73" s="132">
        <f t="shared" si="18"/>
        <v>0</v>
      </c>
      <c r="CS73" s="45" t="e">
        <v>#N/A</v>
      </c>
      <c r="CU73" s="8" t="s">
        <v>3</v>
      </c>
    </row>
    <row r="74" ht="13.5" customHeight="1" outlineLevel="1">
      <c r="B74" s="134">
        <v>0.0</v>
      </c>
      <c r="C74" s="88">
        <f t="shared" si="5"/>
        <v>67</v>
      </c>
      <c r="D74" s="87"/>
      <c r="E74" s="89"/>
      <c r="F74" s="89"/>
      <c r="G74" s="90"/>
      <c r="H74" s="157"/>
      <c r="I74" s="92"/>
      <c r="J74" s="93"/>
      <c r="K74" s="43">
        <f t="shared" si="6"/>
        <v>0</v>
      </c>
      <c r="L74" s="92">
        <v>1.0</v>
      </c>
      <c r="M74" s="157"/>
      <c r="N74" s="94" t="str">
        <f t="shared" si="7"/>
        <v> | </v>
      </c>
      <c r="O74" s="94"/>
      <c r="P74" s="95"/>
      <c r="Q74" s="95"/>
      <c r="R74" s="154">
        <f t="shared" si="112"/>
        <v>0</v>
      </c>
      <c r="S74" s="95">
        <v>0.0</v>
      </c>
      <c r="T74" s="96">
        <f t="shared" si="8"/>
        <v>0</v>
      </c>
      <c r="U74" s="97"/>
      <c r="V74" s="98" t="s">
        <v>109</v>
      </c>
      <c r="W74" s="99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1"/>
      <c r="AI74" s="102">
        <f t="shared" ref="AI74:AT74" si="222">+ W74 * ( 1 + $AJ$3 )</f>
        <v>0</v>
      </c>
      <c r="AJ74" s="102">
        <f t="shared" si="222"/>
        <v>0</v>
      </c>
      <c r="AK74" s="102">
        <f t="shared" si="222"/>
        <v>0</v>
      </c>
      <c r="AL74" s="102">
        <f t="shared" si="222"/>
        <v>0</v>
      </c>
      <c r="AM74" s="102">
        <f t="shared" si="222"/>
        <v>0</v>
      </c>
      <c r="AN74" s="102">
        <f t="shared" si="222"/>
        <v>0</v>
      </c>
      <c r="AO74" s="102">
        <f t="shared" si="222"/>
        <v>0</v>
      </c>
      <c r="AP74" s="102">
        <f t="shared" si="222"/>
        <v>0</v>
      </c>
      <c r="AQ74" s="102">
        <f t="shared" si="222"/>
        <v>0</v>
      </c>
      <c r="AR74" s="102">
        <f t="shared" si="222"/>
        <v>0</v>
      </c>
      <c r="AS74" s="102">
        <f t="shared" si="222"/>
        <v>0</v>
      </c>
      <c r="AT74" s="102">
        <f t="shared" si="222"/>
        <v>0</v>
      </c>
      <c r="AU74" s="104">
        <v>0.0</v>
      </c>
      <c r="AV74" s="105"/>
      <c r="AW74" s="106" t="str">
        <f t="shared" si="10"/>
        <v>n.a.</v>
      </c>
      <c r="AX74" s="90" t="s">
        <v>110</v>
      </c>
      <c r="AY74" s="107">
        <v>0.0</v>
      </c>
      <c r="AZ74" s="108">
        <f t="shared" si="11"/>
        <v>0</v>
      </c>
      <c r="BA74" s="109" t="str">
        <f t="shared" si="12"/>
        <v>n.a.</v>
      </c>
      <c r="BB74" s="110">
        <f t="shared" ref="BB74:BF74" si="223">+IFERROR( $AZ74 * CB74, 0 )</f>
        <v>0</v>
      </c>
      <c r="BC74" s="110">
        <f t="shared" si="223"/>
        <v>0</v>
      </c>
      <c r="BD74" s="110">
        <f t="shared" si="223"/>
        <v>0</v>
      </c>
      <c r="BE74" s="110">
        <f t="shared" si="223"/>
        <v>0</v>
      </c>
      <c r="BF74" s="111">
        <f t="shared" si="223"/>
        <v>0</v>
      </c>
      <c r="BG74" s="112"/>
      <c r="BH74" s="113"/>
      <c r="BI74" s="114" t="s">
        <v>27</v>
      </c>
      <c r="BJ74" s="115">
        <v>15.0</v>
      </c>
      <c r="BK74" s="116" t="s">
        <v>111</v>
      </c>
      <c r="BL74" s="117">
        <v>0.04</v>
      </c>
      <c r="BM74" s="118"/>
      <c r="BN74" s="119"/>
      <c r="BO74" s="120">
        <v>0.0</v>
      </c>
      <c r="BP74" s="28">
        <v>0.04</v>
      </c>
      <c r="BQ74" s="43">
        <f t="shared" si="14"/>
        <v>0</v>
      </c>
      <c r="BR74" s="121"/>
      <c r="BS74" s="122"/>
      <c r="BT74" s="20">
        <v>0.0</v>
      </c>
      <c r="BU74" s="20">
        <v>0.0</v>
      </c>
      <c r="BV74" s="20">
        <v>0.0</v>
      </c>
      <c r="BW74" s="20">
        <v>0.0</v>
      </c>
      <c r="BX74" s="155">
        <v>0.0</v>
      </c>
      <c r="BY74" s="156">
        <f t="shared" si="139"/>
        <v>0</v>
      </c>
      <c r="BZ74" s="124">
        <v>0.0</v>
      </c>
      <c r="CA74" s="45">
        <v>5479.0</v>
      </c>
      <c r="CB74" s="125">
        <v>0.7</v>
      </c>
      <c r="CC74" s="125">
        <v>0.2</v>
      </c>
      <c r="CD74" s="125" t="s">
        <v>112</v>
      </c>
      <c r="CE74" s="125" t="s">
        <v>112</v>
      </c>
      <c r="CF74" s="125">
        <v>0.1</v>
      </c>
      <c r="CG74" s="110">
        <f t="shared" ref="CG74:CK74" si="224">+IFERROR( $AV74 * CB74, 0 )</f>
        <v>0</v>
      </c>
      <c r="CH74" s="110">
        <f t="shared" si="224"/>
        <v>0</v>
      </c>
      <c r="CI74" s="110">
        <f t="shared" si="224"/>
        <v>0</v>
      </c>
      <c r="CJ74" s="110">
        <f t="shared" si="224"/>
        <v>0</v>
      </c>
      <c r="CK74" s="110">
        <f t="shared" si="224"/>
        <v>0</v>
      </c>
      <c r="CL74" s="126">
        <f t="shared" si="16"/>
        <v>0</v>
      </c>
      <c r="CM74" s="127">
        <v>3684.0</v>
      </c>
      <c r="CN74" s="128" t="e">
        <v>#N/A</v>
      </c>
      <c r="CO74" s="129" t="str">
        <f t="shared" si="17"/>
        <v>#N/A</v>
      </c>
      <c r="CP74" s="130">
        <v>0.0</v>
      </c>
      <c r="CQ74" s="131">
        <v>0.0</v>
      </c>
      <c r="CR74" s="132">
        <f t="shared" si="18"/>
        <v>0</v>
      </c>
      <c r="CS74" s="45" t="e">
        <v>#N/A</v>
      </c>
      <c r="CU74" s="8" t="s">
        <v>3</v>
      </c>
    </row>
    <row r="75" ht="13.5" customHeight="1" outlineLevel="1">
      <c r="B75" s="134">
        <v>0.0</v>
      </c>
      <c r="C75" s="88">
        <f t="shared" si="5"/>
        <v>68</v>
      </c>
      <c r="D75" s="87"/>
      <c r="E75" s="89"/>
      <c r="F75" s="89"/>
      <c r="G75" s="90"/>
      <c r="H75" s="157"/>
      <c r="I75" s="92"/>
      <c r="J75" s="93"/>
      <c r="K75" s="43">
        <f t="shared" si="6"/>
        <v>0</v>
      </c>
      <c r="L75" s="92">
        <v>1.0</v>
      </c>
      <c r="M75" s="157"/>
      <c r="N75" s="94" t="str">
        <f t="shared" si="7"/>
        <v> | </v>
      </c>
      <c r="O75" s="94"/>
      <c r="P75" s="95"/>
      <c r="Q75" s="95"/>
      <c r="R75" s="154">
        <f t="shared" si="112"/>
        <v>0</v>
      </c>
      <c r="S75" s="95">
        <v>0.0</v>
      </c>
      <c r="T75" s="96">
        <f t="shared" si="8"/>
        <v>0</v>
      </c>
      <c r="U75" s="97"/>
      <c r="V75" s="98" t="s">
        <v>109</v>
      </c>
      <c r="W75" s="99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1"/>
      <c r="AI75" s="102">
        <f t="shared" ref="AI75:AT75" si="225">+ W75 * ( 1 + $AJ$3 )</f>
        <v>0</v>
      </c>
      <c r="AJ75" s="102">
        <f t="shared" si="225"/>
        <v>0</v>
      </c>
      <c r="AK75" s="102">
        <f t="shared" si="225"/>
        <v>0</v>
      </c>
      <c r="AL75" s="102">
        <f t="shared" si="225"/>
        <v>0</v>
      </c>
      <c r="AM75" s="102">
        <f t="shared" si="225"/>
        <v>0</v>
      </c>
      <c r="AN75" s="102">
        <f t="shared" si="225"/>
        <v>0</v>
      </c>
      <c r="AO75" s="102">
        <f t="shared" si="225"/>
        <v>0</v>
      </c>
      <c r="AP75" s="102">
        <f t="shared" si="225"/>
        <v>0</v>
      </c>
      <c r="AQ75" s="102">
        <f t="shared" si="225"/>
        <v>0</v>
      </c>
      <c r="AR75" s="102">
        <f t="shared" si="225"/>
        <v>0</v>
      </c>
      <c r="AS75" s="102">
        <f t="shared" si="225"/>
        <v>0</v>
      </c>
      <c r="AT75" s="102">
        <f t="shared" si="225"/>
        <v>0</v>
      </c>
      <c r="AU75" s="104">
        <v>0.0</v>
      </c>
      <c r="AV75" s="105"/>
      <c r="AW75" s="106" t="str">
        <f t="shared" si="10"/>
        <v>n.a.</v>
      </c>
      <c r="AX75" s="90" t="s">
        <v>110</v>
      </c>
      <c r="AY75" s="107">
        <v>0.0</v>
      </c>
      <c r="AZ75" s="108">
        <f t="shared" si="11"/>
        <v>0</v>
      </c>
      <c r="BA75" s="109" t="str">
        <f t="shared" si="12"/>
        <v>n.a.</v>
      </c>
      <c r="BB75" s="110">
        <f t="shared" ref="BB75:BF75" si="226">+IFERROR( $AZ75 * CB75, 0 )</f>
        <v>0</v>
      </c>
      <c r="BC75" s="110">
        <f t="shared" si="226"/>
        <v>0</v>
      </c>
      <c r="BD75" s="110">
        <f t="shared" si="226"/>
        <v>0</v>
      </c>
      <c r="BE75" s="110">
        <f t="shared" si="226"/>
        <v>0</v>
      </c>
      <c r="BF75" s="111">
        <f t="shared" si="226"/>
        <v>0</v>
      </c>
      <c r="BG75" s="112"/>
      <c r="BH75" s="113"/>
      <c r="BI75" s="114" t="s">
        <v>27</v>
      </c>
      <c r="BJ75" s="115">
        <v>15.0</v>
      </c>
      <c r="BK75" s="116" t="s">
        <v>111</v>
      </c>
      <c r="BL75" s="117">
        <v>0.04</v>
      </c>
      <c r="BM75" s="118"/>
      <c r="BN75" s="119"/>
      <c r="BO75" s="120">
        <v>0.0</v>
      </c>
      <c r="BP75" s="28">
        <v>0.04</v>
      </c>
      <c r="BQ75" s="43">
        <f t="shared" si="14"/>
        <v>0</v>
      </c>
      <c r="BR75" s="121"/>
      <c r="BS75" s="122"/>
      <c r="BT75" s="20">
        <v>0.0</v>
      </c>
      <c r="BU75" s="20">
        <v>0.0</v>
      </c>
      <c r="BV75" s="20">
        <v>0.0</v>
      </c>
      <c r="BW75" s="20">
        <v>0.0</v>
      </c>
      <c r="BX75" s="155">
        <v>0.0</v>
      </c>
      <c r="BY75" s="156">
        <f t="shared" si="139"/>
        <v>0</v>
      </c>
      <c r="BZ75" s="124">
        <v>0.0</v>
      </c>
      <c r="CA75" s="45">
        <v>5479.0</v>
      </c>
      <c r="CB75" s="125">
        <v>0.7</v>
      </c>
      <c r="CC75" s="125">
        <v>0.2</v>
      </c>
      <c r="CD75" s="125" t="s">
        <v>112</v>
      </c>
      <c r="CE75" s="125" t="s">
        <v>112</v>
      </c>
      <c r="CF75" s="125">
        <v>0.1</v>
      </c>
      <c r="CG75" s="110">
        <f t="shared" ref="CG75:CK75" si="227">+IFERROR( $AV75 * CB75, 0 )</f>
        <v>0</v>
      </c>
      <c r="CH75" s="110">
        <f t="shared" si="227"/>
        <v>0</v>
      </c>
      <c r="CI75" s="110">
        <f t="shared" si="227"/>
        <v>0</v>
      </c>
      <c r="CJ75" s="110">
        <f t="shared" si="227"/>
        <v>0</v>
      </c>
      <c r="CK75" s="110">
        <f t="shared" si="227"/>
        <v>0</v>
      </c>
      <c r="CL75" s="126">
        <f t="shared" si="16"/>
        <v>0</v>
      </c>
      <c r="CM75" s="127">
        <v>3684.0</v>
      </c>
      <c r="CN75" s="128" t="e">
        <v>#N/A</v>
      </c>
      <c r="CO75" s="129" t="str">
        <f t="shared" si="17"/>
        <v>#N/A</v>
      </c>
      <c r="CP75" s="130">
        <v>0.0</v>
      </c>
      <c r="CQ75" s="131">
        <v>0.0</v>
      </c>
      <c r="CR75" s="132">
        <f t="shared" si="18"/>
        <v>0</v>
      </c>
      <c r="CS75" s="45" t="e">
        <v>#N/A</v>
      </c>
      <c r="CU75" s="8" t="s">
        <v>3</v>
      </c>
    </row>
    <row r="76" ht="13.5" customHeight="1" outlineLevel="1">
      <c r="B76" s="134">
        <v>0.0</v>
      </c>
      <c r="C76" s="88">
        <f t="shared" si="5"/>
        <v>69</v>
      </c>
      <c r="D76" s="87"/>
      <c r="E76" s="89"/>
      <c r="F76" s="89"/>
      <c r="G76" s="90"/>
      <c r="H76" s="157"/>
      <c r="I76" s="92"/>
      <c r="J76" s="93"/>
      <c r="K76" s="43">
        <f t="shared" si="6"/>
        <v>0</v>
      </c>
      <c r="L76" s="92">
        <v>1.0</v>
      </c>
      <c r="M76" s="157"/>
      <c r="N76" s="94" t="str">
        <f t="shared" si="7"/>
        <v> | </v>
      </c>
      <c r="O76" s="94"/>
      <c r="P76" s="95"/>
      <c r="Q76" s="95"/>
      <c r="R76" s="154">
        <f t="shared" si="112"/>
        <v>0</v>
      </c>
      <c r="S76" s="95">
        <v>0.0</v>
      </c>
      <c r="T76" s="96">
        <f t="shared" si="8"/>
        <v>0</v>
      </c>
      <c r="U76" s="97"/>
      <c r="V76" s="98" t="s">
        <v>109</v>
      </c>
      <c r="W76" s="99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01"/>
      <c r="AI76" s="102">
        <f t="shared" ref="AI76:AT76" si="228">+ W76 * ( 1 + $AJ$3 )</f>
        <v>0</v>
      </c>
      <c r="AJ76" s="102">
        <f t="shared" si="228"/>
        <v>0</v>
      </c>
      <c r="AK76" s="102">
        <f t="shared" si="228"/>
        <v>0</v>
      </c>
      <c r="AL76" s="102">
        <f t="shared" si="228"/>
        <v>0</v>
      </c>
      <c r="AM76" s="102">
        <f t="shared" si="228"/>
        <v>0</v>
      </c>
      <c r="AN76" s="102">
        <f t="shared" si="228"/>
        <v>0</v>
      </c>
      <c r="AO76" s="102">
        <f t="shared" si="228"/>
        <v>0</v>
      </c>
      <c r="AP76" s="102">
        <f t="shared" si="228"/>
        <v>0</v>
      </c>
      <c r="AQ76" s="102">
        <f t="shared" si="228"/>
        <v>0</v>
      </c>
      <c r="AR76" s="102">
        <f t="shared" si="228"/>
        <v>0</v>
      </c>
      <c r="AS76" s="102">
        <f t="shared" si="228"/>
        <v>0</v>
      </c>
      <c r="AT76" s="102">
        <f t="shared" si="228"/>
        <v>0</v>
      </c>
      <c r="AU76" s="104">
        <v>0.0</v>
      </c>
      <c r="AV76" s="105"/>
      <c r="AW76" s="106" t="str">
        <f t="shared" si="10"/>
        <v>n.a.</v>
      </c>
      <c r="AX76" s="90" t="s">
        <v>110</v>
      </c>
      <c r="AY76" s="107">
        <v>0.0</v>
      </c>
      <c r="AZ76" s="108">
        <f t="shared" si="11"/>
        <v>0</v>
      </c>
      <c r="BA76" s="109" t="str">
        <f t="shared" si="12"/>
        <v>n.a.</v>
      </c>
      <c r="BB76" s="110">
        <f t="shared" ref="BB76:BF76" si="229">+IFERROR( $AZ76 * CB76, 0 )</f>
        <v>0</v>
      </c>
      <c r="BC76" s="110">
        <f t="shared" si="229"/>
        <v>0</v>
      </c>
      <c r="BD76" s="110">
        <f t="shared" si="229"/>
        <v>0</v>
      </c>
      <c r="BE76" s="110">
        <f t="shared" si="229"/>
        <v>0</v>
      </c>
      <c r="BF76" s="111">
        <f t="shared" si="229"/>
        <v>0</v>
      </c>
      <c r="BG76" s="112"/>
      <c r="BH76" s="113"/>
      <c r="BI76" s="114" t="s">
        <v>27</v>
      </c>
      <c r="BJ76" s="115">
        <v>15.0</v>
      </c>
      <c r="BK76" s="116" t="s">
        <v>111</v>
      </c>
      <c r="BL76" s="117">
        <v>0.04</v>
      </c>
      <c r="BM76" s="118"/>
      <c r="BN76" s="119"/>
      <c r="BO76" s="120">
        <v>0.0</v>
      </c>
      <c r="BP76" s="28">
        <v>0.04</v>
      </c>
      <c r="BQ76" s="43">
        <f t="shared" si="14"/>
        <v>0</v>
      </c>
      <c r="BR76" s="121"/>
      <c r="BS76" s="122"/>
      <c r="BT76" s="20">
        <v>0.0</v>
      </c>
      <c r="BU76" s="20">
        <v>0.0</v>
      </c>
      <c r="BV76" s="20">
        <v>0.0</v>
      </c>
      <c r="BW76" s="20">
        <v>0.0</v>
      </c>
      <c r="BX76" s="155">
        <v>0.0</v>
      </c>
      <c r="BY76" s="156">
        <f t="shared" si="139"/>
        <v>0</v>
      </c>
      <c r="BZ76" s="124">
        <v>0.0</v>
      </c>
      <c r="CA76" s="45">
        <v>5479.0</v>
      </c>
      <c r="CB76" s="125">
        <v>0.7</v>
      </c>
      <c r="CC76" s="125">
        <v>0.2</v>
      </c>
      <c r="CD76" s="125" t="s">
        <v>112</v>
      </c>
      <c r="CE76" s="125" t="s">
        <v>112</v>
      </c>
      <c r="CF76" s="125">
        <v>0.1</v>
      </c>
      <c r="CG76" s="110">
        <f t="shared" ref="CG76:CK76" si="230">+IFERROR( $AV76 * CB76, 0 )</f>
        <v>0</v>
      </c>
      <c r="CH76" s="110">
        <f t="shared" si="230"/>
        <v>0</v>
      </c>
      <c r="CI76" s="110">
        <f t="shared" si="230"/>
        <v>0</v>
      </c>
      <c r="CJ76" s="110">
        <f t="shared" si="230"/>
        <v>0</v>
      </c>
      <c r="CK76" s="110">
        <f t="shared" si="230"/>
        <v>0</v>
      </c>
      <c r="CL76" s="126">
        <f t="shared" si="16"/>
        <v>0</v>
      </c>
      <c r="CM76" s="127">
        <v>3684.0</v>
      </c>
      <c r="CN76" s="128" t="e">
        <v>#N/A</v>
      </c>
      <c r="CO76" s="129" t="str">
        <f t="shared" si="17"/>
        <v>#N/A</v>
      </c>
      <c r="CP76" s="130">
        <v>0.0</v>
      </c>
      <c r="CQ76" s="131">
        <v>0.0</v>
      </c>
      <c r="CR76" s="132">
        <f t="shared" si="18"/>
        <v>0</v>
      </c>
      <c r="CS76" s="45" t="e">
        <v>#N/A</v>
      </c>
      <c r="CU76" s="8" t="s">
        <v>3</v>
      </c>
    </row>
    <row r="77" ht="13.5" customHeight="1" outlineLevel="1">
      <c r="B77" s="134">
        <v>0.0</v>
      </c>
      <c r="C77" s="88">
        <f t="shared" si="5"/>
        <v>70</v>
      </c>
      <c r="D77" s="87"/>
      <c r="E77" s="89"/>
      <c r="F77" s="89"/>
      <c r="G77" s="90"/>
      <c r="H77" s="157"/>
      <c r="I77" s="92"/>
      <c r="J77" s="93"/>
      <c r="K77" s="43">
        <f t="shared" si="6"/>
        <v>0</v>
      </c>
      <c r="L77" s="92">
        <v>1.0</v>
      </c>
      <c r="M77" s="157"/>
      <c r="N77" s="94" t="str">
        <f t="shared" si="7"/>
        <v> | </v>
      </c>
      <c r="O77" s="94"/>
      <c r="P77" s="95"/>
      <c r="Q77" s="95"/>
      <c r="R77" s="154">
        <f t="shared" si="112"/>
        <v>0</v>
      </c>
      <c r="S77" s="95">
        <v>0.0</v>
      </c>
      <c r="T77" s="96">
        <f t="shared" si="8"/>
        <v>0</v>
      </c>
      <c r="U77" s="97"/>
      <c r="V77" s="98" t="s">
        <v>109</v>
      </c>
      <c r="W77" s="99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1"/>
      <c r="AI77" s="102">
        <f t="shared" ref="AI77:AT77" si="231">+ W77 * ( 1 + $AJ$3 )</f>
        <v>0</v>
      </c>
      <c r="AJ77" s="102">
        <f t="shared" si="231"/>
        <v>0</v>
      </c>
      <c r="AK77" s="102">
        <f t="shared" si="231"/>
        <v>0</v>
      </c>
      <c r="AL77" s="102">
        <f t="shared" si="231"/>
        <v>0</v>
      </c>
      <c r="AM77" s="102">
        <f t="shared" si="231"/>
        <v>0</v>
      </c>
      <c r="AN77" s="102">
        <f t="shared" si="231"/>
        <v>0</v>
      </c>
      <c r="AO77" s="102">
        <f t="shared" si="231"/>
        <v>0</v>
      </c>
      <c r="AP77" s="102">
        <f t="shared" si="231"/>
        <v>0</v>
      </c>
      <c r="AQ77" s="102">
        <f t="shared" si="231"/>
        <v>0</v>
      </c>
      <c r="AR77" s="102">
        <f t="shared" si="231"/>
        <v>0</v>
      </c>
      <c r="AS77" s="102">
        <f t="shared" si="231"/>
        <v>0</v>
      </c>
      <c r="AT77" s="102">
        <f t="shared" si="231"/>
        <v>0</v>
      </c>
      <c r="AU77" s="104">
        <v>0.0</v>
      </c>
      <c r="AV77" s="105"/>
      <c r="AW77" s="106" t="str">
        <f t="shared" si="10"/>
        <v>n.a.</v>
      </c>
      <c r="AX77" s="90" t="s">
        <v>110</v>
      </c>
      <c r="AY77" s="107">
        <v>0.0</v>
      </c>
      <c r="AZ77" s="108">
        <f t="shared" si="11"/>
        <v>0</v>
      </c>
      <c r="BA77" s="109" t="str">
        <f t="shared" si="12"/>
        <v>n.a.</v>
      </c>
      <c r="BB77" s="110">
        <f t="shared" ref="BB77:BF77" si="232">+IFERROR( $AZ77 * CB77, 0 )</f>
        <v>0</v>
      </c>
      <c r="BC77" s="110">
        <f t="shared" si="232"/>
        <v>0</v>
      </c>
      <c r="BD77" s="110">
        <f t="shared" si="232"/>
        <v>0</v>
      </c>
      <c r="BE77" s="110">
        <f t="shared" si="232"/>
        <v>0</v>
      </c>
      <c r="BF77" s="111">
        <f t="shared" si="232"/>
        <v>0</v>
      </c>
      <c r="BG77" s="112"/>
      <c r="BH77" s="113"/>
      <c r="BI77" s="114" t="s">
        <v>27</v>
      </c>
      <c r="BJ77" s="115">
        <v>15.0</v>
      </c>
      <c r="BK77" s="116" t="s">
        <v>111</v>
      </c>
      <c r="BL77" s="117">
        <v>0.04</v>
      </c>
      <c r="BM77" s="118"/>
      <c r="BN77" s="119"/>
      <c r="BO77" s="120">
        <v>0.0</v>
      </c>
      <c r="BP77" s="28">
        <v>0.04</v>
      </c>
      <c r="BQ77" s="43">
        <f t="shared" si="14"/>
        <v>0</v>
      </c>
      <c r="BR77" s="121"/>
      <c r="BS77" s="122"/>
      <c r="BT77" s="20">
        <v>0.0</v>
      </c>
      <c r="BU77" s="20">
        <v>0.0</v>
      </c>
      <c r="BV77" s="20">
        <v>0.0</v>
      </c>
      <c r="BW77" s="20">
        <v>0.0</v>
      </c>
      <c r="BX77" s="155">
        <v>0.0</v>
      </c>
      <c r="BY77" s="156">
        <f t="shared" si="139"/>
        <v>0</v>
      </c>
      <c r="BZ77" s="124">
        <v>0.0</v>
      </c>
      <c r="CA77" s="45">
        <v>5479.0</v>
      </c>
      <c r="CB77" s="125">
        <v>0.7</v>
      </c>
      <c r="CC77" s="125">
        <v>0.2</v>
      </c>
      <c r="CD77" s="125" t="s">
        <v>112</v>
      </c>
      <c r="CE77" s="125" t="s">
        <v>112</v>
      </c>
      <c r="CF77" s="125">
        <v>0.1</v>
      </c>
      <c r="CG77" s="110">
        <f t="shared" ref="CG77:CK77" si="233">+IFERROR( $AV77 * CB77, 0 )</f>
        <v>0</v>
      </c>
      <c r="CH77" s="110">
        <f t="shared" si="233"/>
        <v>0</v>
      </c>
      <c r="CI77" s="110">
        <f t="shared" si="233"/>
        <v>0</v>
      </c>
      <c r="CJ77" s="110">
        <f t="shared" si="233"/>
        <v>0</v>
      </c>
      <c r="CK77" s="110">
        <f t="shared" si="233"/>
        <v>0</v>
      </c>
      <c r="CL77" s="126">
        <f t="shared" si="16"/>
        <v>0</v>
      </c>
      <c r="CM77" s="127">
        <v>3684.0</v>
      </c>
      <c r="CN77" s="128" t="e">
        <v>#N/A</v>
      </c>
      <c r="CO77" s="129" t="str">
        <f t="shared" si="17"/>
        <v>#N/A</v>
      </c>
      <c r="CP77" s="130">
        <v>0.0</v>
      </c>
      <c r="CQ77" s="131">
        <v>0.0</v>
      </c>
      <c r="CR77" s="132">
        <f t="shared" si="18"/>
        <v>0</v>
      </c>
      <c r="CS77" s="45" t="e">
        <v>#N/A</v>
      </c>
      <c r="CU77" s="8" t="s">
        <v>3</v>
      </c>
    </row>
    <row r="78" ht="13.5" customHeight="1" outlineLevel="1">
      <c r="B78" s="134">
        <v>0.0</v>
      </c>
      <c r="C78" s="88">
        <f t="shared" si="5"/>
        <v>71</v>
      </c>
      <c r="D78" s="87"/>
      <c r="E78" s="89"/>
      <c r="F78" s="89"/>
      <c r="G78" s="90"/>
      <c r="H78" s="157"/>
      <c r="I78" s="92"/>
      <c r="J78" s="93"/>
      <c r="K78" s="43">
        <f t="shared" si="6"/>
        <v>0</v>
      </c>
      <c r="L78" s="92">
        <v>1.0</v>
      </c>
      <c r="M78" s="157"/>
      <c r="N78" s="94" t="str">
        <f t="shared" si="7"/>
        <v> | </v>
      </c>
      <c r="O78" s="94"/>
      <c r="P78" s="95"/>
      <c r="Q78" s="95"/>
      <c r="R78" s="154">
        <f t="shared" si="112"/>
        <v>0</v>
      </c>
      <c r="S78" s="95">
        <v>0.0</v>
      </c>
      <c r="T78" s="96">
        <f t="shared" si="8"/>
        <v>0</v>
      </c>
      <c r="U78" s="97"/>
      <c r="V78" s="98" t="s">
        <v>109</v>
      </c>
      <c r="W78" s="99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1"/>
      <c r="AI78" s="102">
        <f t="shared" ref="AI78:AT78" si="234">+ W78 * ( 1 + $AJ$3 )</f>
        <v>0</v>
      </c>
      <c r="AJ78" s="102">
        <f t="shared" si="234"/>
        <v>0</v>
      </c>
      <c r="AK78" s="102">
        <f t="shared" si="234"/>
        <v>0</v>
      </c>
      <c r="AL78" s="102">
        <f t="shared" si="234"/>
        <v>0</v>
      </c>
      <c r="AM78" s="102">
        <f t="shared" si="234"/>
        <v>0</v>
      </c>
      <c r="AN78" s="102">
        <f t="shared" si="234"/>
        <v>0</v>
      </c>
      <c r="AO78" s="102">
        <f t="shared" si="234"/>
        <v>0</v>
      </c>
      <c r="AP78" s="102">
        <f t="shared" si="234"/>
        <v>0</v>
      </c>
      <c r="AQ78" s="102">
        <f t="shared" si="234"/>
        <v>0</v>
      </c>
      <c r="AR78" s="102">
        <f t="shared" si="234"/>
        <v>0</v>
      </c>
      <c r="AS78" s="102">
        <f t="shared" si="234"/>
        <v>0</v>
      </c>
      <c r="AT78" s="102">
        <f t="shared" si="234"/>
        <v>0</v>
      </c>
      <c r="AU78" s="104">
        <v>0.0</v>
      </c>
      <c r="AV78" s="105"/>
      <c r="AW78" s="106" t="str">
        <f t="shared" si="10"/>
        <v>n.a.</v>
      </c>
      <c r="AX78" s="90" t="s">
        <v>110</v>
      </c>
      <c r="AY78" s="107">
        <v>0.0</v>
      </c>
      <c r="AZ78" s="108">
        <f t="shared" si="11"/>
        <v>0</v>
      </c>
      <c r="BA78" s="109" t="str">
        <f t="shared" si="12"/>
        <v>n.a.</v>
      </c>
      <c r="BB78" s="110">
        <f t="shared" ref="BB78:BF78" si="235">+IFERROR( $AZ78 * CB78, 0 )</f>
        <v>0</v>
      </c>
      <c r="BC78" s="110">
        <f t="shared" si="235"/>
        <v>0</v>
      </c>
      <c r="BD78" s="110">
        <f t="shared" si="235"/>
        <v>0</v>
      </c>
      <c r="BE78" s="110">
        <f t="shared" si="235"/>
        <v>0</v>
      </c>
      <c r="BF78" s="111">
        <f t="shared" si="235"/>
        <v>0</v>
      </c>
      <c r="BG78" s="112"/>
      <c r="BH78" s="113"/>
      <c r="BI78" s="114" t="s">
        <v>27</v>
      </c>
      <c r="BJ78" s="115">
        <v>15.0</v>
      </c>
      <c r="BK78" s="116" t="s">
        <v>111</v>
      </c>
      <c r="BL78" s="117">
        <v>0.04</v>
      </c>
      <c r="BM78" s="118"/>
      <c r="BN78" s="119"/>
      <c r="BO78" s="120">
        <v>0.0</v>
      </c>
      <c r="BP78" s="28">
        <v>0.04</v>
      </c>
      <c r="BQ78" s="43">
        <f t="shared" si="14"/>
        <v>0</v>
      </c>
      <c r="BR78" s="121"/>
      <c r="BS78" s="122"/>
      <c r="BT78" s="20">
        <v>0.0</v>
      </c>
      <c r="BU78" s="20">
        <v>0.0</v>
      </c>
      <c r="BV78" s="20">
        <v>0.0</v>
      </c>
      <c r="BW78" s="20">
        <v>0.0</v>
      </c>
      <c r="BX78" s="155">
        <v>0.0</v>
      </c>
      <c r="BY78" s="156">
        <f t="shared" si="139"/>
        <v>0</v>
      </c>
      <c r="BZ78" s="124">
        <v>0.0</v>
      </c>
      <c r="CA78" s="45">
        <v>5479.0</v>
      </c>
      <c r="CB78" s="125">
        <v>0.7</v>
      </c>
      <c r="CC78" s="125">
        <v>0.2</v>
      </c>
      <c r="CD78" s="125" t="s">
        <v>112</v>
      </c>
      <c r="CE78" s="125" t="s">
        <v>112</v>
      </c>
      <c r="CF78" s="125">
        <v>0.1</v>
      </c>
      <c r="CG78" s="110">
        <f t="shared" ref="CG78:CK78" si="236">+IFERROR( $AV78 * CB78, 0 )</f>
        <v>0</v>
      </c>
      <c r="CH78" s="110">
        <f t="shared" si="236"/>
        <v>0</v>
      </c>
      <c r="CI78" s="110">
        <f t="shared" si="236"/>
        <v>0</v>
      </c>
      <c r="CJ78" s="110">
        <f t="shared" si="236"/>
        <v>0</v>
      </c>
      <c r="CK78" s="110">
        <f t="shared" si="236"/>
        <v>0</v>
      </c>
      <c r="CL78" s="126">
        <f t="shared" si="16"/>
        <v>0</v>
      </c>
      <c r="CM78" s="127">
        <v>3684.0</v>
      </c>
      <c r="CN78" s="128" t="e">
        <v>#N/A</v>
      </c>
      <c r="CO78" s="129" t="str">
        <f t="shared" si="17"/>
        <v>#N/A</v>
      </c>
      <c r="CP78" s="130">
        <v>0.0</v>
      </c>
      <c r="CQ78" s="131">
        <v>0.0</v>
      </c>
      <c r="CR78" s="132">
        <f t="shared" si="18"/>
        <v>0</v>
      </c>
      <c r="CS78" s="45" t="e">
        <v>#N/A</v>
      </c>
      <c r="CU78" s="8" t="s">
        <v>3</v>
      </c>
    </row>
    <row r="79" ht="13.5" customHeight="1" outlineLevel="1">
      <c r="B79" s="134">
        <v>0.0</v>
      </c>
      <c r="C79" s="88">
        <f t="shared" si="5"/>
        <v>72</v>
      </c>
      <c r="D79" s="87"/>
      <c r="E79" s="89"/>
      <c r="F79" s="89"/>
      <c r="G79" s="90"/>
      <c r="H79" s="157"/>
      <c r="I79" s="92"/>
      <c r="J79" s="93"/>
      <c r="K79" s="43">
        <f t="shared" si="6"/>
        <v>0</v>
      </c>
      <c r="L79" s="92">
        <v>1.0</v>
      </c>
      <c r="M79" s="157"/>
      <c r="N79" s="94" t="str">
        <f t="shared" si="7"/>
        <v> | </v>
      </c>
      <c r="O79" s="94"/>
      <c r="P79" s="95"/>
      <c r="Q79" s="95"/>
      <c r="R79" s="154">
        <f t="shared" si="112"/>
        <v>0</v>
      </c>
      <c r="S79" s="95">
        <v>0.0</v>
      </c>
      <c r="T79" s="96">
        <f t="shared" si="8"/>
        <v>0</v>
      </c>
      <c r="U79" s="97"/>
      <c r="V79" s="98" t="s">
        <v>109</v>
      </c>
      <c r="W79" s="99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1"/>
      <c r="AI79" s="102">
        <f t="shared" ref="AI79:AT79" si="237">+ W79 * ( 1 + $AJ$3 )</f>
        <v>0</v>
      </c>
      <c r="AJ79" s="102">
        <f t="shared" si="237"/>
        <v>0</v>
      </c>
      <c r="AK79" s="102">
        <f t="shared" si="237"/>
        <v>0</v>
      </c>
      <c r="AL79" s="102">
        <f t="shared" si="237"/>
        <v>0</v>
      </c>
      <c r="AM79" s="102">
        <f t="shared" si="237"/>
        <v>0</v>
      </c>
      <c r="AN79" s="102">
        <f t="shared" si="237"/>
        <v>0</v>
      </c>
      <c r="AO79" s="102">
        <f t="shared" si="237"/>
        <v>0</v>
      </c>
      <c r="AP79" s="102">
        <f t="shared" si="237"/>
        <v>0</v>
      </c>
      <c r="AQ79" s="102">
        <f t="shared" si="237"/>
        <v>0</v>
      </c>
      <c r="AR79" s="102">
        <f t="shared" si="237"/>
        <v>0</v>
      </c>
      <c r="AS79" s="102">
        <f t="shared" si="237"/>
        <v>0</v>
      </c>
      <c r="AT79" s="102">
        <f t="shared" si="237"/>
        <v>0</v>
      </c>
      <c r="AU79" s="104">
        <v>0.0</v>
      </c>
      <c r="AV79" s="105"/>
      <c r="AW79" s="106" t="str">
        <f t="shared" si="10"/>
        <v>n.a.</v>
      </c>
      <c r="AX79" s="90" t="s">
        <v>110</v>
      </c>
      <c r="AY79" s="107">
        <v>0.0</v>
      </c>
      <c r="AZ79" s="108">
        <f t="shared" si="11"/>
        <v>0</v>
      </c>
      <c r="BA79" s="109" t="str">
        <f t="shared" si="12"/>
        <v>n.a.</v>
      </c>
      <c r="BB79" s="110">
        <f t="shared" ref="BB79:BF79" si="238">+IFERROR( $AZ79 * CB79, 0 )</f>
        <v>0</v>
      </c>
      <c r="BC79" s="110">
        <f t="shared" si="238"/>
        <v>0</v>
      </c>
      <c r="BD79" s="110">
        <f t="shared" si="238"/>
        <v>0</v>
      </c>
      <c r="BE79" s="110">
        <f t="shared" si="238"/>
        <v>0</v>
      </c>
      <c r="BF79" s="111">
        <f t="shared" si="238"/>
        <v>0</v>
      </c>
      <c r="BG79" s="112"/>
      <c r="BH79" s="113"/>
      <c r="BI79" s="114" t="s">
        <v>27</v>
      </c>
      <c r="BJ79" s="115">
        <v>15.0</v>
      </c>
      <c r="BK79" s="116" t="s">
        <v>111</v>
      </c>
      <c r="BL79" s="117">
        <v>0.04</v>
      </c>
      <c r="BM79" s="118"/>
      <c r="BN79" s="119"/>
      <c r="BO79" s="120">
        <v>0.0</v>
      </c>
      <c r="BP79" s="28">
        <v>0.04</v>
      </c>
      <c r="BQ79" s="43">
        <f t="shared" si="14"/>
        <v>0</v>
      </c>
      <c r="BR79" s="121"/>
      <c r="BS79" s="122"/>
      <c r="BT79" s="20">
        <v>0.0</v>
      </c>
      <c r="BU79" s="20">
        <v>0.0</v>
      </c>
      <c r="BV79" s="20">
        <v>0.0</v>
      </c>
      <c r="BW79" s="20">
        <v>0.0</v>
      </c>
      <c r="BX79" s="155">
        <v>0.0</v>
      </c>
      <c r="BY79" s="156">
        <f t="shared" si="139"/>
        <v>0</v>
      </c>
      <c r="BZ79" s="124">
        <v>0.0</v>
      </c>
      <c r="CA79" s="45">
        <v>5479.0</v>
      </c>
      <c r="CB79" s="125">
        <v>0.7</v>
      </c>
      <c r="CC79" s="125">
        <v>0.2</v>
      </c>
      <c r="CD79" s="125" t="s">
        <v>112</v>
      </c>
      <c r="CE79" s="125" t="s">
        <v>112</v>
      </c>
      <c r="CF79" s="125">
        <v>0.1</v>
      </c>
      <c r="CG79" s="110">
        <f t="shared" ref="CG79:CK79" si="239">+IFERROR( $AV79 * CB79, 0 )</f>
        <v>0</v>
      </c>
      <c r="CH79" s="110">
        <f t="shared" si="239"/>
        <v>0</v>
      </c>
      <c r="CI79" s="110">
        <f t="shared" si="239"/>
        <v>0</v>
      </c>
      <c r="CJ79" s="110">
        <f t="shared" si="239"/>
        <v>0</v>
      </c>
      <c r="CK79" s="110">
        <f t="shared" si="239"/>
        <v>0</v>
      </c>
      <c r="CL79" s="126">
        <f t="shared" si="16"/>
        <v>0</v>
      </c>
      <c r="CM79" s="127">
        <v>3684.0</v>
      </c>
      <c r="CN79" s="128" t="e">
        <v>#N/A</v>
      </c>
      <c r="CO79" s="129" t="str">
        <f t="shared" si="17"/>
        <v>#N/A</v>
      </c>
      <c r="CP79" s="130">
        <v>0.0</v>
      </c>
      <c r="CQ79" s="131">
        <v>0.0</v>
      </c>
      <c r="CR79" s="132">
        <f t="shared" si="18"/>
        <v>0</v>
      </c>
      <c r="CS79" s="45" t="e">
        <v>#N/A</v>
      </c>
      <c r="CU79" s="8" t="s">
        <v>3</v>
      </c>
    </row>
    <row r="80" ht="13.5" customHeight="1" outlineLevel="1">
      <c r="B80" s="134">
        <v>0.0</v>
      </c>
      <c r="C80" s="88">
        <f t="shared" si="5"/>
        <v>73</v>
      </c>
      <c r="D80" s="87"/>
      <c r="E80" s="89"/>
      <c r="F80" s="89"/>
      <c r="G80" s="90"/>
      <c r="H80" s="157"/>
      <c r="I80" s="92"/>
      <c r="J80" s="93"/>
      <c r="K80" s="43">
        <f t="shared" si="6"/>
        <v>0</v>
      </c>
      <c r="L80" s="92">
        <v>1.0</v>
      </c>
      <c r="M80" s="157"/>
      <c r="N80" s="94" t="str">
        <f t="shared" si="7"/>
        <v> | </v>
      </c>
      <c r="O80" s="94"/>
      <c r="P80" s="95"/>
      <c r="Q80" s="95"/>
      <c r="R80" s="154">
        <f t="shared" si="112"/>
        <v>0</v>
      </c>
      <c r="S80" s="95">
        <v>0.0</v>
      </c>
      <c r="T80" s="96">
        <f t="shared" si="8"/>
        <v>0</v>
      </c>
      <c r="U80" s="97"/>
      <c r="V80" s="98" t="s">
        <v>109</v>
      </c>
      <c r="W80" s="99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1"/>
      <c r="AI80" s="102">
        <f t="shared" ref="AI80:AT80" si="240">+ W80 * ( 1 + $AJ$3 )</f>
        <v>0</v>
      </c>
      <c r="AJ80" s="102">
        <f t="shared" si="240"/>
        <v>0</v>
      </c>
      <c r="AK80" s="102">
        <f t="shared" si="240"/>
        <v>0</v>
      </c>
      <c r="AL80" s="102">
        <f t="shared" si="240"/>
        <v>0</v>
      </c>
      <c r="AM80" s="102">
        <f t="shared" si="240"/>
        <v>0</v>
      </c>
      <c r="AN80" s="102">
        <f t="shared" si="240"/>
        <v>0</v>
      </c>
      <c r="AO80" s="102">
        <f t="shared" si="240"/>
        <v>0</v>
      </c>
      <c r="AP80" s="102">
        <f t="shared" si="240"/>
        <v>0</v>
      </c>
      <c r="AQ80" s="102">
        <f t="shared" si="240"/>
        <v>0</v>
      </c>
      <c r="AR80" s="102">
        <f t="shared" si="240"/>
        <v>0</v>
      </c>
      <c r="AS80" s="102">
        <f t="shared" si="240"/>
        <v>0</v>
      </c>
      <c r="AT80" s="102">
        <f t="shared" si="240"/>
        <v>0</v>
      </c>
      <c r="AU80" s="104">
        <v>0.0</v>
      </c>
      <c r="AV80" s="105"/>
      <c r="AW80" s="106" t="str">
        <f t="shared" si="10"/>
        <v>n.a.</v>
      </c>
      <c r="AX80" s="90" t="s">
        <v>110</v>
      </c>
      <c r="AY80" s="107">
        <v>0.0</v>
      </c>
      <c r="AZ80" s="108">
        <f t="shared" si="11"/>
        <v>0</v>
      </c>
      <c r="BA80" s="109" t="str">
        <f t="shared" si="12"/>
        <v>n.a.</v>
      </c>
      <c r="BB80" s="110">
        <f t="shared" ref="BB80:BF80" si="241">+IFERROR( $AZ80 * CB80, 0 )</f>
        <v>0</v>
      </c>
      <c r="BC80" s="110">
        <f t="shared" si="241"/>
        <v>0</v>
      </c>
      <c r="BD80" s="110">
        <f t="shared" si="241"/>
        <v>0</v>
      </c>
      <c r="BE80" s="110">
        <f t="shared" si="241"/>
        <v>0</v>
      </c>
      <c r="BF80" s="111">
        <f t="shared" si="241"/>
        <v>0</v>
      </c>
      <c r="BG80" s="112"/>
      <c r="BH80" s="113"/>
      <c r="BI80" s="114" t="s">
        <v>27</v>
      </c>
      <c r="BJ80" s="115">
        <v>15.0</v>
      </c>
      <c r="BK80" s="116" t="s">
        <v>111</v>
      </c>
      <c r="BL80" s="117">
        <v>0.04</v>
      </c>
      <c r="BM80" s="118"/>
      <c r="BN80" s="119"/>
      <c r="BO80" s="120">
        <v>0.0</v>
      </c>
      <c r="BP80" s="28">
        <v>0.04</v>
      </c>
      <c r="BQ80" s="43">
        <f t="shared" si="14"/>
        <v>0</v>
      </c>
      <c r="BR80" s="121"/>
      <c r="BS80" s="122"/>
      <c r="BT80" s="20">
        <v>0.0</v>
      </c>
      <c r="BU80" s="20">
        <v>0.0</v>
      </c>
      <c r="BV80" s="20">
        <v>0.0</v>
      </c>
      <c r="BW80" s="20">
        <v>0.0</v>
      </c>
      <c r="BX80" s="155">
        <v>0.0</v>
      </c>
      <c r="BY80" s="156">
        <f t="shared" si="139"/>
        <v>0</v>
      </c>
      <c r="BZ80" s="124">
        <v>0.0</v>
      </c>
      <c r="CA80" s="45">
        <v>5479.0</v>
      </c>
      <c r="CB80" s="125">
        <v>0.7</v>
      </c>
      <c r="CC80" s="125">
        <v>0.2</v>
      </c>
      <c r="CD80" s="125" t="s">
        <v>112</v>
      </c>
      <c r="CE80" s="125" t="s">
        <v>112</v>
      </c>
      <c r="CF80" s="125">
        <v>0.1</v>
      </c>
      <c r="CG80" s="110">
        <f t="shared" ref="CG80:CK80" si="242">+IFERROR( $AV80 * CB80, 0 )</f>
        <v>0</v>
      </c>
      <c r="CH80" s="110">
        <f t="shared" si="242"/>
        <v>0</v>
      </c>
      <c r="CI80" s="110">
        <f t="shared" si="242"/>
        <v>0</v>
      </c>
      <c r="CJ80" s="110">
        <f t="shared" si="242"/>
        <v>0</v>
      </c>
      <c r="CK80" s="110">
        <f t="shared" si="242"/>
        <v>0</v>
      </c>
      <c r="CL80" s="126">
        <f t="shared" si="16"/>
        <v>0</v>
      </c>
      <c r="CM80" s="127">
        <v>3684.0</v>
      </c>
      <c r="CN80" s="128" t="e">
        <v>#N/A</v>
      </c>
      <c r="CO80" s="129" t="str">
        <f t="shared" si="17"/>
        <v>#N/A</v>
      </c>
      <c r="CP80" s="130">
        <v>0.0</v>
      </c>
      <c r="CQ80" s="131">
        <v>0.0</v>
      </c>
      <c r="CR80" s="132">
        <f t="shared" si="18"/>
        <v>0</v>
      </c>
      <c r="CS80" s="45" t="e">
        <v>#N/A</v>
      </c>
      <c r="CU80" s="8" t="s">
        <v>3</v>
      </c>
    </row>
    <row r="81" ht="13.5" customHeight="1" outlineLevel="1">
      <c r="B81" s="134">
        <v>0.0</v>
      </c>
      <c r="C81" s="88">
        <f t="shared" si="5"/>
        <v>74</v>
      </c>
      <c r="D81" s="87"/>
      <c r="E81" s="89"/>
      <c r="F81" s="89"/>
      <c r="G81" s="90"/>
      <c r="H81" s="157"/>
      <c r="I81" s="92"/>
      <c r="J81" s="93"/>
      <c r="K81" s="43">
        <f t="shared" si="6"/>
        <v>0</v>
      </c>
      <c r="L81" s="92">
        <v>1.0</v>
      </c>
      <c r="M81" s="157"/>
      <c r="N81" s="94" t="str">
        <f t="shared" si="7"/>
        <v> | </v>
      </c>
      <c r="O81" s="94"/>
      <c r="P81" s="95"/>
      <c r="Q81" s="95"/>
      <c r="R81" s="154">
        <f t="shared" si="112"/>
        <v>0</v>
      </c>
      <c r="S81" s="95">
        <v>0.0</v>
      </c>
      <c r="T81" s="96">
        <f t="shared" si="8"/>
        <v>0</v>
      </c>
      <c r="U81" s="97"/>
      <c r="V81" s="98" t="s">
        <v>109</v>
      </c>
      <c r="W81" s="99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1"/>
      <c r="AI81" s="102">
        <f t="shared" ref="AI81:AT81" si="243">+ W81 * ( 1 + $AJ$3 )</f>
        <v>0</v>
      </c>
      <c r="AJ81" s="102">
        <f t="shared" si="243"/>
        <v>0</v>
      </c>
      <c r="AK81" s="102">
        <f t="shared" si="243"/>
        <v>0</v>
      </c>
      <c r="AL81" s="102">
        <f t="shared" si="243"/>
        <v>0</v>
      </c>
      <c r="AM81" s="102">
        <f t="shared" si="243"/>
        <v>0</v>
      </c>
      <c r="AN81" s="102">
        <f t="shared" si="243"/>
        <v>0</v>
      </c>
      <c r="AO81" s="102">
        <f t="shared" si="243"/>
        <v>0</v>
      </c>
      <c r="AP81" s="102">
        <f t="shared" si="243"/>
        <v>0</v>
      </c>
      <c r="AQ81" s="102">
        <f t="shared" si="243"/>
        <v>0</v>
      </c>
      <c r="AR81" s="102">
        <f t="shared" si="243"/>
        <v>0</v>
      </c>
      <c r="AS81" s="102">
        <f t="shared" si="243"/>
        <v>0</v>
      </c>
      <c r="AT81" s="102">
        <f t="shared" si="243"/>
        <v>0</v>
      </c>
      <c r="AU81" s="104">
        <v>0.0</v>
      </c>
      <c r="AV81" s="105"/>
      <c r="AW81" s="106" t="str">
        <f t="shared" si="10"/>
        <v>n.a.</v>
      </c>
      <c r="AX81" s="90" t="s">
        <v>110</v>
      </c>
      <c r="AY81" s="107">
        <v>0.0</v>
      </c>
      <c r="AZ81" s="108">
        <f t="shared" si="11"/>
        <v>0</v>
      </c>
      <c r="BA81" s="109" t="str">
        <f t="shared" si="12"/>
        <v>n.a.</v>
      </c>
      <c r="BB81" s="110">
        <f t="shared" ref="BB81:BF81" si="244">+IFERROR( $AZ81 * CB81, 0 )</f>
        <v>0</v>
      </c>
      <c r="BC81" s="110">
        <f t="shared" si="244"/>
        <v>0</v>
      </c>
      <c r="BD81" s="110">
        <f t="shared" si="244"/>
        <v>0</v>
      </c>
      <c r="BE81" s="110">
        <f t="shared" si="244"/>
        <v>0</v>
      </c>
      <c r="BF81" s="111">
        <f t="shared" si="244"/>
        <v>0</v>
      </c>
      <c r="BG81" s="112"/>
      <c r="BH81" s="113"/>
      <c r="BI81" s="114" t="s">
        <v>27</v>
      </c>
      <c r="BJ81" s="115">
        <v>15.0</v>
      </c>
      <c r="BK81" s="116" t="s">
        <v>111</v>
      </c>
      <c r="BL81" s="117">
        <v>0.04</v>
      </c>
      <c r="BM81" s="118"/>
      <c r="BN81" s="119"/>
      <c r="BO81" s="120">
        <v>0.0</v>
      </c>
      <c r="BP81" s="28">
        <v>0.04</v>
      </c>
      <c r="BQ81" s="43">
        <f t="shared" si="14"/>
        <v>0</v>
      </c>
      <c r="BR81" s="121"/>
      <c r="BS81" s="122"/>
      <c r="BT81" s="20">
        <v>0.0</v>
      </c>
      <c r="BU81" s="20">
        <v>0.0</v>
      </c>
      <c r="BV81" s="20">
        <v>0.0</v>
      </c>
      <c r="BW81" s="20">
        <v>0.0</v>
      </c>
      <c r="BX81" s="155">
        <v>0.0</v>
      </c>
      <c r="BY81" s="156">
        <f t="shared" si="139"/>
        <v>0</v>
      </c>
      <c r="BZ81" s="124">
        <v>0.0</v>
      </c>
      <c r="CA81" s="45">
        <v>5479.0</v>
      </c>
      <c r="CB81" s="125">
        <v>0.7</v>
      </c>
      <c r="CC81" s="125">
        <v>0.2</v>
      </c>
      <c r="CD81" s="125" t="s">
        <v>112</v>
      </c>
      <c r="CE81" s="125" t="s">
        <v>112</v>
      </c>
      <c r="CF81" s="125">
        <v>0.1</v>
      </c>
      <c r="CG81" s="110">
        <f t="shared" ref="CG81:CK81" si="245">+IFERROR( $AV81 * CB81, 0 )</f>
        <v>0</v>
      </c>
      <c r="CH81" s="110">
        <f t="shared" si="245"/>
        <v>0</v>
      </c>
      <c r="CI81" s="110">
        <f t="shared" si="245"/>
        <v>0</v>
      </c>
      <c r="CJ81" s="110">
        <f t="shared" si="245"/>
        <v>0</v>
      </c>
      <c r="CK81" s="110">
        <f t="shared" si="245"/>
        <v>0</v>
      </c>
      <c r="CL81" s="126">
        <f t="shared" si="16"/>
        <v>0</v>
      </c>
      <c r="CM81" s="127">
        <v>3684.0</v>
      </c>
      <c r="CN81" s="128" t="e">
        <v>#N/A</v>
      </c>
      <c r="CO81" s="129" t="str">
        <f t="shared" si="17"/>
        <v>#N/A</v>
      </c>
      <c r="CP81" s="130">
        <v>0.0</v>
      </c>
      <c r="CQ81" s="131">
        <v>0.0</v>
      </c>
      <c r="CR81" s="132">
        <f t="shared" si="18"/>
        <v>0</v>
      </c>
      <c r="CS81" s="45" t="e">
        <v>#N/A</v>
      </c>
      <c r="CU81" s="8" t="s">
        <v>3</v>
      </c>
    </row>
    <row r="82" ht="13.5" customHeight="1" outlineLevel="1">
      <c r="B82" s="134">
        <v>0.0</v>
      </c>
      <c r="C82" s="88">
        <f t="shared" si="5"/>
        <v>75</v>
      </c>
      <c r="D82" s="87"/>
      <c r="E82" s="89"/>
      <c r="F82" s="89"/>
      <c r="G82" s="90"/>
      <c r="H82" s="157"/>
      <c r="I82" s="92"/>
      <c r="J82" s="93"/>
      <c r="K82" s="43">
        <f t="shared" si="6"/>
        <v>0</v>
      </c>
      <c r="L82" s="92">
        <v>1.0</v>
      </c>
      <c r="M82" s="157"/>
      <c r="N82" s="94" t="str">
        <f t="shared" si="7"/>
        <v> | </v>
      </c>
      <c r="O82" s="94"/>
      <c r="P82" s="95"/>
      <c r="Q82" s="95"/>
      <c r="R82" s="154">
        <f t="shared" si="112"/>
        <v>0</v>
      </c>
      <c r="S82" s="95">
        <v>0.0</v>
      </c>
      <c r="T82" s="96">
        <f t="shared" si="8"/>
        <v>0</v>
      </c>
      <c r="U82" s="97"/>
      <c r="V82" s="98" t="s">
        <v>109</v>
      </c>
      <c r="W82" s="99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1"/>
      <c r="AI82" s="102">
        <f t="shared" ref="AI82:AT82" si="246">+ W82 * ( 1 + $AJ$3 )</f>
        <v>0</v>
      </c>
      <c r="AJ82" s="102">
        <f t="shared" si="246"/>
        <v>0</v>
      </c>
      <c r="AK82" s="102">
        <f t="shared" si="246"/>
        <v>0</v>
      </c>
      <c r="AL82" s="102">
        <f t="shared" si="246"/>
        <v>0</v>
      </c>
      <c r="AM82" s="102">
        <f t="shared" si="246"/>
        <v>0</v>
      </c>
      <c r="AN82" s="102">
        <f t="shared" si="246"/>
        <v>0</v>
      </c>
      <c r="AO82" s="102">
        <f t="shared" si="246"/>
        <v>0</v>
      </c>
      <c r="AP82" s="102">
        <f t="shared" si="246"/>
        <v>0</v>
      </c>
      <c r="AQ82" s="102">
        <f t="shared" si="246"/>
        <v>0</v>
      </c>
      <c r="AR82" s="102">
        <f t="shared" si="246"/>
        <v>0</v>
      </c>
      <c r="AS82" s="102">
        <f t="shared" si="246"/>
        <v>0</v>
      </c>
      <c r="AT82" s="102">
        <f t="shared" si="246"/>
        <v>0</v>
      </c>
      <c r="AU82" s="104">
        <v>0.0</v>
      </c>
      <c r="AV82" s="105"/>
      <c r="AW82" s="106" t="str">
        <f t="shared" si="10"/>
        <v>n.a.</v>
      </c>
      <c r="AX82" s="90" t="s">
        <v>110</v>
      </c>
      <c r="AY82" s="107">
        <v>0.0</v>
      </c>
      <c r="AZ82" s="108">
        <f t="shared" si="11"/>
        <v>0</v>
      </c>
      <c r="BA82" s="109" t="str">
        <f t="shared" si="12"/>
        <v>n.a.</v>
      </c>
      <c r="BB82" s="110">
        <f t="shared" ref="BB82:BF82" si="247">+IFERROR( $AZ82 * CB82, 0 )</f>
        <v>0</v>
      </c>
      <c r="BC82" s="110">
        <f t="shared" si="247"/>
        <v>0</v>
      </c>
      <c r="BD82" s="110">
        <f t="shared" si="247"/>
        <v>0</v>
      </c>
      <c r="BE82" s="110">
        <f t="shared" si="247"/>
        <v>0</v>
      </c>
      <c r="BF82" s="111">
        <f t="shared" si="247"/>
        <v>0</v>
      </c>
      <c r="BG82" s="112"/>
      <c r="BH82" s="113"/>
      <c r="BI82" s="114" t="s">
        <v>27</v>
      </c>
      <c r="BJ82" s="115">
        <v>15.0</v>
      </c>
      <c r="BK82" s="116" t="s">
        <v>111</v>
      </c>
      <c r="BL82" s="117">
        <v>0.04</v>
      </c>
      <c r="BM82" s="118"/>
      <c r="BN82" s="119"/>
      <c r="BO82" s="120">
        <v>0.0</v>
      </c>
      <c r="BP82" s="28">
        <v>0.04</v>
      </c>
      <c r="BQ82" s="43">
        <f t="shared" si="14"/>
        <v>0</v>
      </c>
      <c r="BR82" s="121"/>
      <c r="BS82" s="122"/>
      <c r="BT82" s="20">
        <v>0.0</v>
      </c>
      <c r="BU82" s="20">
        <v>0.0</v>
      </c>
      <c r="BV82" s="20">
        <v>0.0</v>
      </c>
      <c r="BW82" s="20">
        <v>0.0</v>
      </c>
      <c r="BX82" s="155">
        <v>0.0</v>
      </c>
      <c r="BY82" s="156">
        <f t="shared" si="139"/>
        <v>0</v>
      </c>
      <c r="BZ82" s="124">
        <v>0.0</v>
      </c>
      <c r="CA82" s="45">
        <v>5479.0</v>
      </c>
      <c r="CB82" s="125">
        <v>0.7</v>
      </c>
      <c r="CC82" s="125">
        <v>0.2</v>
      </c>
      <c r="CD82" s="125" t="s">
        <v>112</v>
      </c>
      <c r="CE82" s="125" t="s">
        <v>112</v>
      </c>
      <c r="CF82" s="125">
        <v>0.1</v>
      </c>
      <c r="CG82" s="110">
        <f t="shared" ref="CG82:CK82" si="248">+IFERROR( $AV82 * CB82, 0 )</f>
        <v>0</v>
      </c>
      <c r="CH82" s="110">
        <f t="shared" si="248"/>
        <v>0</v>
      </c>
      <c r="CI82" s="110">
        <f t="shared" si="248"/>
        <v>0</v>
      </c>
      <c r="CJ82" s="110">
        <f t="shared" si="248"/>
        <v>0</v>
      </c>
      <c r="CK82" s="110">
        <f t="shared" si="248"/>
        <v>0</v>
      </c>
      <c r="CL82" s="126">
        <f t="shared" si="16"/>
        <v>0</v>
      </c>
      <c r="CM82" s="127">
        <v>3684.0</v>
      </c>
      <c r="CN82" s="128" t="e">
        <v>#N/A</v>
      </c>
      <c r="CO82" s="129" t="str">
        <f t="shared" si="17"/>
        <v>#N/A</v>
      </c>
      <c r="CP82" s="130">
        <v>0.0</v>
      </c>
      <c r="CQ82" s="131">
        <v>0.0</v>
      </c>
      <c r="CR82" s="132">
        <f t="shared" si="18"/>
        <v>0</v>
      </c>
      <c r="CS82" s="45" t="e">
        <v>#N/A</v>
      </c>
      <c r="CU82" s="8" t="s">
        <v>3</v>
      </c>
    </row>
    <row r="83" ht="13.5" customHeight="1" outlineLevel="1">
      <c r="B83" s="134">
        <v>0.0</v>
      </c>
      <c r="C83" s="88">
        <f t="shared" si="5"/>
        <v>76</v>
      </c>
      <c r="D83" s="87"/>
      <c r="E83" s="89"/>
      <c r="F83" s="89"/>
      <c r="G83" s="90"/>
      <c r="H83" s="157"/>
      <c r="I83" s="92"/>
      <c r="J83" s="93"/>
      <c r="K83" s="43">
        <f t="shared" si="6"/>
        <v>0</v>
      </c>
      <c r="L83" s="92">
        <v>1.0</v>
      </c>
      <c r="M83" s="157"/>
      <c r="N83" s="94" t="str">
        <f t="shared" si="7"/>
        <v> | </v>
      </c>
      <c r="O83" s="94"/>
      <c r="P83" s="95"/>
      <c r="Q83" s="95"/>
      <c r="R83" s="154">
        <f t="shared" si="112"/>
        <v>0</v>
      </c>
      <c r="S83" s="95">
        <v>0.0</v>
      </c>
      <c r="T83" s="96">
        <f t="shared" si="8"/>
        <v>0</v>
      </c>
      <c r="U83" s="97"/>
      <c r="V83" s="98" t="s">
        <v>109</v>
      </c>
      <c r="W83" s="99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1"/>
      <c r="AI83" s="102">
        <f t="shared" ref="AI83:AT83" si="249">+ W83 * ( 1 + $AJ$3 )</f>
        <v>0</v>
      </c>
      <c r="AJ83" s="102">
        <f t="shared" si="249"/>
        <v>0</v>
      </c>
      <c r="AK83" s="102">
        <f t="shared" si="249"/>
        <v>0</v>
      </c>
      <c r="AL83" s="102">
        <f t="shared" si="249"/>
        <v>0</v>
      </c>
      <c r="AM83" s="102">
        <f t="shared" si="249"/>
        <v>0</v>
      </c>
      <c r="AN83" s="102">
        <f t="shared" si="249"/>
        <v>0</v>
      </c>
      <c r="AO83" s="102">
        <f t="shared" si="249"/>
        <v>0</v>
      </c>
      <c r="AP83" s="102">
        <f t="shared" si="249"/>
        <v>0</v>
      </c>
      <c r="AQ83" s="102">
        <f t="shared" si="249"/>
        <v>0</v>
      </c>
      <c r="AR83" s="102">
        <f t="shared" si="249"/>
        <v>0</v>
      </c>
      <c r="AS83" s="102">
        <f t="shared" si="249"/>
        <v>0</v>
      </c>
      <c r="AT83" s="102">
        <f t="shared" si="249"/>
        <v>0</v>
      </c>
      <c r="AU83" s="104">
        <v>0.0</v>
      </c>
      <c r="AV83" s="105"/>
      <c r="AW83" s="106" t="str">
        <f t="shared" si="10"/>
        <v>n.a.</v>
      </c>
      <c r="AX83" s="90" t="s">
        <v>110</v>
      </c>
      <c r="AY83" s="107">
        <v>0.0</v>
      </c>
      <c r="AZ83" s="108">
        <f t="shared" si="11"/>
        <v>0</v>
      </c>
      <c r="BA83" s="109" t="str">
        <f t="shared" si="12"/>
        <v>n.a.</v>
      </c>
      <c r="BB83" s="110">
        <f t="shared" ref="BB83:BF83" si="250">+IFERROR( $AZ83 * CB83, 0 )</f>
        <v>0</v>
      </c>
      <c r="BC83" s="110">
        <f t="shared" si="250"/>
        <v>0</v>
      </c>
      <c r="BD83" s="110">
        <f t="shared" si="250"/>
        <v>0</v>
      </c>
      <c r="BE83" s="110">
        <f t="shared" si="250"/>
        <v>0</v>
      </c>
      <c r="BF83" s="111">
        <f t="shared" si="250"/>
        <v>0</v>
      </c>
      <c r="BG83" s="112"/>
      <c r="BH83" s="113"/>
      <c r="BI83" s="114" t="s">
        <v>27</v>
      </c>
      <c r="BJ83" s="115">
        <v>15.0</v>
      </c>
      <c r="BK83" s="116" t="s">
        <v>111</v>
      </c>
      <c r="BL83" s="117">
        <v>0.04</v>
      </c>
      <c r="BM83" s="118"/>
      <c r="BN83" s="119"/>
      <c r="BO83" s="120">
        <v>0.0</v>
      </c>
      <c r="BP83" s="28">
        <v>0.04</v>
      </c>
      <c r="BQ83" s="43">
        <f t="shared" si="14"/>
        <v>0</v>
      </c>
      <c r="BR83" s="121"/>
      <c r="BS83" s="122"/>
      <c r="BT83" s="20">
        <v>0.0</v>
      </c>
      <c r="BU83" s="20">
        <v>0.0</v>
      </c>
      <c r="BV83" s="20">
        <v>0.0</v>
      </c>
      <c r="BW83" s="20">
        <v>0.0</v>
      </c>
      <c r="BX83" s="155">
        <v>0.0</v>
      </c>
      <c r="BY83" s="156">
        <f t="shared" si="139"/>
        <v>0</v>
      </c>
      <c r="BZ83" s="124">
        <v>0.0</v>
      </c>
      <c r="CA83" s="45">
        <v>5479.0</v>
      </c>
      <c r="CB83" s="125">
        <v>0.7</v>
      </c>
      <c r="CC83" s="125">
        <v>0.2</v>
      </c>
      <c r="CD83" s="125" t="s">
        <v>112</v>
      </c>
      <c r="CE83" s="125" t="s">
        <v>112</v>
      </c>
      <c r="CF83" s="125">
        <v>0.1</v>
      </c>
      <c r="CG83" s="110">
        <f t="shared" ref="CG83:CK83" si="251">+IFERROR( $AV83 * CB83, 0 )</f>
        <v>0</v>
      </c>
      <c r="CH83" s="110">
        <f t="shared" si="251"/>
        <v>0</v>
      </c>
      <c r="CI83" s="110">
        <f t="shared" si="251"/>
        <v>0</v>
      </c>
      <c r="CJ83" s="110">
        <f t="shared" si="251"/>
        <v>0</v>
      </c>
      <c r="CK83" s="110">
        <f t="shared" si="251"/>
        <v>0</v>
      </c>
      <c r="CL83" s="126">
        <f t="shared" si="16"/>
        <v>0</v>
      </c>
      <c r="CM83" s="127">
        <v>3684.0</v>
      </c>
      <c r="CN83" s="128" t="e">
        <v>#N/A</v>
      </c>
      <c r="CO83" s="129" t="str">
        <f t="shared" si="17"/>
        <v>#N/A</v>
      </c>
      <c r="CP83" s="130">
        <v>0.0</v>
      </c>
      <c r="CQ83" s="131">
        <v>0.0</v>
      </c>
      <c r="CR83" s="132">
        <f t="shared" si="18"/>
        <v>0</v>
      </c>
      <c r="CS83" s="45" t="e">
        <v>#N/A</v>
      </c>
      <c r="CU83" s="8" t="s">
        <v>3</v>
      </c>
    </row>
    <row r="84" ht="13.5" customHeight="1" outlineLevel="1">
      <c r="B84" s="134">
        <v>0.0</v>
      </c>
      <c r="C84" s="88">
        <f t="shared" si="5"/>
        <v>77</v>
      </c>
      <c r="D84" s="87"/>
      <c r="E84" s="89"/>
      <c r="F84" s="89"/>
      <c r="G84" s="90"/>
      <c r="H84" s="157"/>
      <c r="I84" s="92"/>
      <c r="J84" s="93"/>
      <c r="K84" s="43">
        <f t="shared" si="6"/>
        <v>0</v>
      </c>
      <c r="L84" s="92">
        <v>1.0</v>
      </c>
      <c r="M84" s="157"/>
      <c r="N84" s="94" t="str">
        <f t="shared" si="7"/>
        <v> | </v>
      </c>
      <c r="O84" s="94"/>
      <c r="P84" s="95"/>
      <c r="Q84" s="95"/>
      <c r="R84" s="154">
        <f t="shared" si="112"/>
        <v>0</v>
      </c>
      <c r="S84" s="95">
        <v>0.0</v>
      </c>
      <c r="T84" s="96">
        <f t="shared" si="8"/>
        <v>0</v>
      </c>
      <c r="U84" s="97"/>
      <c r="V84" s="98" t="s">
        <v>109</v>
      </c>
      <c r="W84" s="99"/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  <c r="AH84" s="101"/>
      <c r="AI84" s="102">
        <f t="shared" ref="AI84:AT84" si="252">+ W84 * ( 1 + $AJ$3 )</f>
        <v>0</v>
      </c>
      <c r="AJ84" s="102">
        <f t="shared" si="252"/>
        <v>0</v>
      </c>
      <c r="AK84" s="102">
        <f t="shared" si="252"/>
        <v>0</v>
      </c>
      <c r="AL84" s="102">
        <f t="shared" si="252"/>
        <v>0</v>
      </c>
      <c r="AM84" s="102">
        <f t="shared" si="252"/>
        <v>0</v>
      </c>
      <c r="AN84" s="102">
        <f t="shared" si="252"/>
        <v>0</v>
      </c>
      <c r="AO84" s="102">
        <f t="shared" si="252"/>
        <v>0</v>
      </c>
      <c r="AP84" s="102">
        <f t="shared" si="252"/>
        <v>0</v>
      </c>
      <c r="AQ84" s="102">
        <f t="shared" si="252"/>
        <v>0</v>
      </c>
      <c r="AR84" s="102">
        <f t="shared" si="252"/>
        <v>0</v>
      </c>
      <c r="AS84" s="102">
        <f t="shared" si="252"/>
        <v>0</v>
      </c>
      <c r="AT84" s="102">
        <f t="shared" si="252"/>
        <v>0</v>
      </c>
      <c r="AU84" s="104">
        <v>0.0</v>
      </c>
      <c r="AV84" s="105"/>
      <c r="AW84" s="106" t="str">
        <f t="shared" si="10"/>
        <v>n.a.</v>
      </c>
      <c r="AX84" s="90" t="s">
        <v>110</v>
      </c>
      <c r="AY84" s="107">
        <v>0.0</v>
      </c>
      <c r="AZ84" s="108">
        <f t="shared" si="11"/>
        <v>0</v>
      </c>
      <c r="BA84" s="109" t="str">
        <f t="shared" si="12"/>
        <v>n.a.</v>
      </c>
      <c r="BB84" s="110">
        <f t="shared" ref="BB84:BF84" si="253">+IFERROR( $AZ84 * CB84, 0 )</f>
        <v>0</v>
      </c>
      <c r="BC84" s="110">
        <f t="shared" si="253"/>
        <v>0</v>
      </c>
      <c r="BD84" s="110">
        <f t="shared" si="253"/>
        <v>0</v>
      </c>
      <c r="BE84" s="110">
        <f t="shared" si="253"/>
        <v>0</v>
      </c>
      <c r="BF84" s="111">
        <f t="shared" si="253"/>
        <v>0</v>
      </c>
      <c r="BG84" s="112"/>
      <c r="BH84" s="113"/>
      <c r="BI84" s="114" t="s">
        <v>27</v>
      </c>
      <c r="BJ84" s="115">
        <v>15.0</v>
      </c>
      <c r="BK84" s="116" t="s">
        <v>111</v>
      </c>
      <c r="BL84" s="117">
        <v>0.04</v>
      </c>
      <c r="BM84" s="118"/>
      <c r="BN84" s="119"/>
      <c r="BO84" s="120">
        <v>0.0</v>
      </c>
      <c r="BP84" s="28">
        <v>0.04</v>
      </c>
      <c r="BQ84" s="43">
        <f t="shared" si="14"/>
        <v>0</v>
      </c>
      <c r="BR84" s="121"/>
      <c r="BS84" s="122"/>
      <c r="BT84" s="20">
        <v>0.0</v>
      </c>
      <c r="BU84" s="20">
        <v>0.0</v>
      </c>
      <c r="BV84" s="20">
        <v>0.0</v>
      </c>
      <c r="BW84" s="20">
        <v>0.0</v>
      </c>
      <c r="BX84" s="155">
        <v>0.0</v>
      </c>
      <c r="BY84" s="156">
        <f t="shared" si="139"/>
        <v>0</v>
      </c>
      <c r="BZ84" s="124">
        <v>0.0</v>
      </c>
      <c r="CA84" s="45">
        <v>5479.0</v>
      </c>
      <c r="CB84" s="125">
        <v>0.7</v>
      </c>
      <c r="CC84" s="125">
        <v>0.2</v>
      </c>
      <c r="CD84" s="125" t="s">
        <v>112</v>
      </c>
      <c r="CE84" s="125" t="s">
        <v>112</v>
      </c>
      <c r="CF84" s="125">
        <v>0.1</v>
      </c>
      <c r="CG84" s="110">
        <f t="shared" ref="CG84:CK84" si="254">+IFERROR( $AV84 * CB84, 0 )</f>
        <v>0</v>
      </c>
      <c r="CH84" s="110">
        <f t="shared" si="254"/>
        <v>0</v>
      </c>
      <c r="CI84" s="110">
        <f t="shared" si="254"/>
        <v>0</v>
      </c>
      <c r="CJ84" s="110">
        <f t="shared" si="254"/>
        <v>0</v>
      </c>
      <c r="CK84" s="110">
        <f t="shared" si="254"/>
        <v>0</v>
      </c>
      <c r="CL84" s="126">
        <f t="shared" si="16"/>
        <v>0</v>
      </c>
      <c r="CM84" s="127">
        <v>3684.0</v>
      </c>
      <c r="CN84" s="128" t="e">
        <v>#N/A</v>
      </c>
      <c r="CO84" s="129" t="str">
        <f t="shared" si="17"/>
        <v>#N/A</v>
      </c>
      <c r="CP84" s="130">
        <v>0.0</v>
      </c>
      <c r="CQ84" s="131">
        <v>0.0</v>
      </c>
      <c r="CR84" s="132">
        <f t="shared" si="18"/>
        <v>0</v>
      </c>
      <c r="CS84" s="45" t="e">
        <v>#N/A</v>
      </c>
      <c r="CU84" s="8" t="s">
        <v>3</v>
      </c>
    </row>
    <row r="85" ht="13.5" customHeight="1" outlineLevel="1">
      <c r="B85" s="134">
        <v>0.0</v>
      </c>
      <c r="C85" s="88">
        <f t="shared" si="5"/>
        <v>78</v>
      </c>
      <c r="D85" s="87"/>
      <c r="E85" s="89"/>
      <c r="F85" s="89"/>
      <c r="G85" s="90"/>
      <c r="H85" s="157"/>
      <c r="I85" s="92"/>
      <c r="J85" s="93"/>
      <c r="K85" s="43">
        <f t="shared" si="6"/>
        <v>0</v>
      </c>
      <c r="L85" s="92">
        <v>1.0</v>
      </c>
      <c r="M85" s="157"/>
      <c r="N85" s="94" t="str">
        <f t="shared" si="7"/>
        <v> | </v>
      </c>
      <c r="O85" s="94"/>
      <c r="P85" s="95"/>
      <c r="Q85" s="95"/>
      <c r="R85" s="154">
        <f t="shared" si="112"/>
        <v>0</v>
      </c>
      <c r="S85" s="95">
        <v>0.0</v>
      </c>
      <c r="T85" s="96">
        <f t="shared" si="8"/>
        <v>0</v>
      </c>
      <c r="U85" s="97"/>
      <c r="V85" s="98" t="s">
        <v>109</v>
      </c>
      <c r="W85" s="99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01"/>
      <c r="AI85" s="102">
        <f t="shared" ref="AI85:AT85" si="255">+ W85 * ( 1 + $AJ$3 )</f>
        <v>0</v>
      </c>
      <c r="AJ85" s="102">
        <f t="shared" si="255"/>
        <v>0</v>
      </c>
      <c r="AK85" s="102">
        <f t="shared" si="255"/>
        <v>0</v>
      </c>
      <c r="AL85" s="102">
        <f t="shared" si="255"/>
        <v>0</v>
      </c>
      <c r="AM85" s="102">
        <f t="shared" si="255"/>
        <v>0</v>
      </c>
      <c r="AN85" s="102">
        <f t="shared" si="255"/>
        <v>0</v>
      </c>
      <c r="AO85" s="102">
        <f t="shared" si="255"/>
        <v>0</v>
      </c>
      <c r="AP85" s="102">
        <f t="shared" si="255"/>
        <v>0</v>
      </c>
      <c r="AQ85" s="102">
        <f t="shared" si="255"/>
        <v>0</v>
      </c>
      <c r="AR85" s="102">
        <f t="shared" si="255"/>
        <v>0</v>
      </c>
      <c r="AS85" s="102">
        <f t="shared" si="255"/>
        <v>0</v>
      </c>
      <c r="AT85" s="102">
        <f t="shared" si="255"/>
        <v>0</v>
      </c>
      <c r="AU85" s="104">
        <v>0.0</v>
      </c>
      <c r="AV85" s="105"/>
      <c r="AW85" s="106" t="str">
        <f t="shared" si="10"/>
        <v>n.a.</v>
      </c>
      <c r="AX85" s="90" t="s">
        <v>110</v>
      </c>
      <c r="AY85" s="107">
        <v>0.0</v>
      </c>
      <c r="AZ85" s="108">
        <f t="shared" si="11"/>
        <v>0</v>
      </c>
      <c r="BA85" s="109" t="str">
        <f t="shared" si="12"/>
        <v>n.a.</v>
      </c>
      <c r="BB85" s="110">
        <f t="shared" ref="BB85:BF85" si="256">+IFERROR( $AZ85 * CB85, 0 )</f>
        <v>0</v>
      </c>
      <c r="BC85" s="110">
        <f t="shared" si="256"/>
        <v>0</v>
      </c>
      <c r="BD85" s="110">
        <f t="shared" si="256"/>
        <v>0</v>
      </c>
      <c r="BE85" s="110">
        <f t="shared" si="256"/>
        <v>0</v>
      </c>
      <c r="BF85" s="111">
        <f t="shared" si="256"/>
        <v>0</v>
      </c>
      <c r="BG85" s="112"/>
      <c r="BH85" s="113"/>
      <c r="BI85" s="114" t="s">
        <v>27</v>
      </c>
      <c r="BJ85" s="115">
        <v>15.0</v>
      </c>
      <c r="BK85" s="116" t="s">
        <v>111</v>
      </c>
      <c r="BL85" s="117">
        <v>0.04</v>
      </c>
      <c r="BM85" s="118"/>
      <c r="BN85" s="119"/>
      <c r="BO85" s="120">
        <v>0.0</v>
      </c>
      <c r="BP85" s="28">
        <v>0.04</v>
      </c>
      <c r="BQ85" s="43">
        <f t="shared" si="14"/>
        <v>0</v>
      </c>
      <c r="BR85" s="121"/>
      <c r="BS85" s="122"/>
      <c r="BT85" s="20">
        <v>0.0</v>
      </c>
      <c r="BU85" s="20">
        <v>0.0</v>
      </c>
      <c r="BV85" s="20">
        <v>0.0</v>
      </c>
      <c r="BW85" s="20">
        <v>0.0</v>
      </c>
      <c r="BX85" s="155">
        <v>0.0</v>
      </c>
      <c r="BY85" s="156">
        <f t="shared" si="139"/>
        <v>0</v>
      </c>
      <c r="BZ85" s="124">
        <v>0.0</v>
      </c>
      <c r="CA85" s="45">
        <v>5479.0</v>
      </c>
      <c r="CB85" s="125">
        <v>0.7</v>
      </c>
      <c r="CC85" s="125">
        <v>0.2</v>
      </c>
      <c r="CD85" s="125" t="s">
        <v>112</v>
      </c>
      <c r="CE85" s="125" t="s">
        <v>112</v>
      </c>
      <c r="CF85" s="125">
        <v>0.1</v>
      </c>
      <c r="CG85" s="110">
        <f t="shared" ref="CG85:CK85" si="257">+IFERROR( $AV85 * CB85, 0 )</f>
        <v>0</v>
      </c>
      <c r="CH85" s="110">
        <f t="shared" si="257"/>
        <v>0</v>
      </c>
      <c r="CI85" s="110">
        <f t="shared" si="257"/>
        <v>0</v>
      </c>
      <c r="CJ85" s="110">
        <f t="shared" si="257"/>
        <v>0</v>
      </c>
      <c r="CK85" s="110">
        <f t="shared" si="257"/>
        <v>0</v>
      </c>
      <c r="CL85" s="126">
        <f t="shared" si="16"/>
        <v>0</v>
      </c>
      <c r="CM85" s="127">
        <v>3684.0</v>
      </c>
      <c r="CN85" s="128" t="e">
        <v>#N/A</v>
      </c>
      <c r="CO85" s="129" t="str">
        <f t="shared" si="17"/>
        <v>#N/A</v>
      </c>
      <c r="CP85" s="130">
        <v>0.0</v>
      </c>
      <c r="CQ85" s="131">
        <v>0.0</v>
      </c>
      <c r="CR85" s="132">
        <f t="shared" si="18"/>
        <v>0</v>
      </c>
      <c r="CS85" s="45" t="e">
        <v>#N/A</v>
      </c>
      <c r="CU85" s="8" t="s">
        <v>3</v>
      </c>
    </row>
    <row r="86" ht="13.5" customHeight="1" outlineLevel="1">
      <c r="B86" s="134">
        <v>0.0</v>
      </c>
      <c r="C86" s="88">
        <f t="shared" si="5"/>
        <v>79</v>
      </c>
      <c r="D86" s="87"/>
      <c r="E86" s="89"/>
      <c r="F86" s="89"/>
      <c r="G86" s="90"/>
      <c r="H86" s="157"/>
      <c r="I86" s="92"/>
      <c r="J86" s="93"/>
      <c r="K86" s="43">
        <f t="shared" si="6"/>
        <v>0</v>
      </c>
      <c r="L86" s="92">
        <v>1.0</v>
      </c>
      <c r="M86" s="157"/>
      <c r="N86" s="94" t="str">
        <f t="shared" si="7"/>
        <v> | </v>
      </c>
      <c r="O86" s="94"/>
      <c r="P86" s="95"/>
      <c r="Q86" s="95"/>
      <c r="R86" s="154">
        <f t="shared" si="112"/>
        <v>0</v>
      </c>
      <c r="S86" s="95">
        <v>0.0</v>
      </c>
      <c r="T86" s="96">
        <f t="shared" si="8"/>
        <v>0</v>
      </c>
      <c r="U86" s="97"/>
      <c r="V86" s="98" t="s">
        <v>109</v>
      </c>
      <c r="W86" s="99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1"/>
      <c r="AI86" s="102">
        <f t="shared" ref="AI86:AT86" si="258">+ W86 * ( 1 + $AJ$3 )</f>
        <v>0</v>
      </c>
      <c r="AJ86" s="102">
        <f t="shared" si="258"/>
        <v>0</v>
      </c>
      <c r="AK86" s="102">
        <f t="shared" si="258"/>
        <v>0</v>
      </c>
      <c r="AL86" s="102">
        <f t="shared" si="258"/>
        <v>0</v>
      </c>
      <c r="AM86" s="102">
        <f t="shared" si="258"/>
        <v>0</v>
      </c>
      <c r="AN86" s="102">
        <f t="shared" si="258"/>
        <v>0</v>
      </c>
      <c r="AO86" s="102">
        <f t="shared" si="258"/>
        <v>0</v>
      </c>
      <c r="AP86" s="102">
        <f t="shared" si="258"/>
        <v>0</v>
      </c>
      <c r="AQ86" s="102">
        <f t="shared" si="258"/>
        <v>0</v>
      </c>
      <c r="AR86" s="102">
        <f t="shared" si="258"/>
        <v>0</v>
      </c>
      <c r="AS86" s="102">
        <f t="shared" si="258"/>
        <v>0</v>
      </c>
      <c r="AT86" s="102">
        <f t="shared" si="258"/>
        <v>0</v>
      </c>
      <c r="AU86" s="104">
        <v>0.0</v>
      </c>
      <c r="AV86" s="105"/>
      <c r="AW86" s="106" t="str">
        <f t="shared" si="10"/>
        <v>n.a.</v>
      </c>
      <c r="AX86" s="90" t="s">
        <v>110</v>
      </c>
      <c r="AY86" s="107">
        <v>0.0</v>
      </c>
      <c r="AZ86" s="108">
        <f t="shared" si="11"/>
        <v>0</v>
      </c>
      <c r="BA86" s="109" t="str">
        <f t="shared" si="12"/>
        <v>n.a.</v>
      </c>
      <c r="BB86" s="110">
        <f t="shared" ref="BB86:BF86" si="259">+IFERROR( $AZ86 * CB86, 0 )</f>
        <v>0</v>
      </c>
      <c r="BC86" s="110">
        <f t="shared" si="259"/>
        <v>0</v>
      </c>
      <c r="BD86" s="110">
        <f t="shared" si="259"/>
        <v>0</v>
      </c>
      <c r="BE86" s="110">
        <f t="shared" si="259"/>
        <v>0</v>
      </c>
      <c r="BF86" s="111">
        <f t="shared" si="259"/>
        <v>0</v>
      </c>
      <c r="BG86" s="112"/>
      <c r="BH86" s="113"/>
      <c r="BI86" s="114" t="s">
        <v>27</v>
      </c>
      <c r="BJ86" s="115">
        <v>15.0</v>
      </c>
      <c r="BK86" s="116" t="s">
        <v>111</v>
      </c>
      <c r="BL86" s="117">
        <v>0.04</v>
      </c>
      <c r="BM86" s="118"/>
      <c r="BN86" s="119"/>
      <c r="BO86" s="120">
        <v>0.0</v>
      </c>
      <c r="BP86" s="28">
        <v>0.04</v>
      </c>
      <c r="BQ86" s="43">
        <f t="shared" si="14"/>
        <v>0</v>
      </c>
      <c r="BR86" s="121"/>
      <c r="BS86" s="122"/>
      <c r="BT86" s="20">
        <v>0.0</v>
      </c>
      <c r="BU86" s="20">
        <v>0.0</v>
      </c>
      <c r="BV86" s="20">
        <v>0.0</v>
      </c>
      <c r="BW86" s="20">
        <v>0.0</v>
      </c>
      <c r="BX86" s="155">
        <v>0.0</v>
      </c>
      <c r="BY86" s="156">
        <f t="shared" si="139"/>
        <v>0</v>
      </c>
      <c r="BZ86" s="124">
        <v>0.0</v>
      </c>
      <c r="CA86" s="45">
        <v>5479.0</v>
      </c>
      <c r="CB86" s="125">
        <v>0.7</v>
      </c>
      <c r="CC86" s="125">
        <v>0.2</v>
      </c>
      <c r="CD86" s="125" t="s">
        <v>112</v>
      </c>
      <c r="CE86" s="125" t="s">
        <v>112</v>
      </c>
      <c r="CF86" s="125">
        <v>0.1</v>
      </c>
      <c r="CG86" s="110">
        <f t="shared" ref="CG86:CK86" si="260">+IFERROR( $AV86 * CB86, 0 )</f>
        <v>0</v>
      </c>
      <c r="CH86" s="110">
        <f t="shared" si="260"/>
        <v>0</v>
      </c>
      <c r="CI86" s="110">
        <f t="shared" si="260"/>
        <v>0</v>
      </c>
      <c r="CJ86" s="110">
        <f t="shared" si="260"/>
        <v>0</v>
      </c>
      <c r="CK86" s="110">
        <f t="shared" si="260"/>
        <v>0</v>
      </c>
      <c r="CL86" s="126">
        <f t="shared" si="16"/>
        <v>0</v>
      </c>
      <c r="CM86" s="127">
        <v>3684.0</v>
      </c>
      <c r="CN86" s="128" t="e">
        <v>#N/A</v>
      </c>
      <c r="CO86" s="129" t="str">
        <f t="shared" si="17"/>
        <v>#N/A</v>
      </c>
      <c r="CP86" s="130">
        <v>0.0</v>
      </c>
      <c r="CQ86" s="131">
        <v>0.0</v>
      </c>
      <c r="CR86" s="132">
        <f t="shared" si="18"/>
        <v>0</v>
      </c>
      <c r="CS86" s="45" t="e">
        <v>#N/A</v>
      </c>
      <c r="CU86" s="8" t="s">
        <v>3</v>
      </c>
    </row>
    <row r="87" ht="13.5" customHeight="1" outlineLevel="1">
      <c r="B87" s="134">
        <v>0.0</v>
      </c>
      <c r="C87" s="88">
        <f t="shared" si="5"/>
        <v>80</v>
      </c>
      <c r="D87" s="87"/>
      <c r="E87" s="89"/>
      <c r="F87" s="89"/>
      <c r="G87" s="90"/>
      <c r="H87" s="157"/>
      <c r="I87" s="92"/>
      <c r="J87" s="93"/>
      <c r="K87" s="43">
        <f t="shared" si="6"/>
        <v>0</v>
      </c>
      <c r="L87" s="92">
        <v>1.0</v>
      </c>
      <c r="M87" s="157"/>
      <c r="N87" s="94" t="str">
        <f t="shared" si="7"/>
        <v> | </v>
      </c>
      <c r="O87" s="94"/>
      <c r="P87" s="95"/>
      <c r="Q87" s="95"/>
      <c r="R87" s="154">
        <f t="shared" si="112"/>
        <v>0</v>
      </c>
      <c r="S87" s="95">
        <v>0.0</v>
      </c>
      <c r="T87" s="96">
        <f t="shared" si="8"/>
        <v>0</v>
      </c>
      <c r="U87" s="97"/>
      <c r="V87" s="98" t="s">
        <v>109</v>
      </c>
      <c r="W87" s="99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1"/>
      <c r="AI87" s="102">
        <f t="shared" ref="AI87:AT87" si="261">+ W87 * ( 1 + $AJ$3 )</f>
        <v>0</v>
      </c>
      <c r="AJ87" s="102">
        <f t="shared" si="261"/>
        <v>0</v>
      </c>
      <c r="AK87" s="102">
        <f t="shared" si="261"/>
        <v>0</v>
      </c>
      <c r="AL87" s="102">
        <f t="shared" si="261"/>
        <v>0</v>
      </c>
      <c r="AM87" s="102">
        <f t="shared" si="261"/>
        <v>0</v>
      </c>
      <c r="AN87" s="102">
        <f t="shared" si="261"/>
        <v>0</v>
      </c>
      <c r="AO87" s="102">
        <f t="shared" si="261"/>
        <v>0</v>
      </c>
      <c r="AP87" s="102">
        <f t="shared" si="261"/>
        <v>0</v>
      </c>
      <c r="AQ87" s="102">
        <f t="shared" si="261"/>
        <v>0</v>
      </c>
      <c r="AR87" s="102">
        <f t="shared" si="261"/>
        <v>0</v>
      </c>
      <c r="AS87" s="102">
        <f t="shared" si="261"/>
        <v>0</v>
      </c>
      <c r="AT87" s="102">
        <f t="shared" si="261"/>
        <v>0</v>
      </c>
      <c r="AU87" s="104">
        <v>0.0</v>
      </c>
      <c r="AV87" s="105"/>
      <c r="AW87" s="106" t="str">
        <f t="shared" si="10"/>
        <v>n.a.</v>
      </c>
      <c r="AX87" s="90" t="s">
        <v>110</v>
      </c>
      <c r="AY87" s="107">
        <v>0.0</v>
      </c>
      <c r="AZ87" s="108">
        <f t="shared" si="11"/>
        <v>0</v>
      </c>
      <c r="BA87" s="109" t="str">
        <f t="shared" si="12"/>
        <v>n.a.</v>
      </c>
      <c r="BB87" s="110">
        <f t="shared" ref="BB87:BF87" si="262">+IFERROR( $AZ87 * CB87, 0 )</f>
        <v>0</v>
      </c>
      <c r="BC87" s="110">
        <f t="shared" si="262"/>
        <v>0</v>
      </c>
      <c r="BD87" s="110">
        <f t="shared" si="262"/>
        <v>0</v>
      </c>
      <c r="BE87" s="110">
        <f t="shared" si="262"/>
        <v>0</v>
      </c>
      <c r="BF87" s="111">
        <f t="shared" si="262"/>
        <v>0</v>
      </c>
      <c r="BG87" s="112"/>
      <c r="BH87" s="113"/>
      <c r="BI87" s="114" t="s">
        <v>27</v>
      </c>
      <c r="BJ87" s="115">
        <v>15.0</v>
      </c>
      <c r="BK87" s="116" t="s">
        <v>111</v>
      </c>
      <c r="BL87" s="117">
        <v>0.04</v>
      </c>
      <c r="BM87" s="118"/>
      <c r="BN87" s="119"/>
      <c r="BO87" s="120">
        <v>0.0</v>
      </c>
      <c r="BP87" s="28">
        <v>0.04</v>
      </c>
      <c r="BQ87" s="43">
        <f t="shared" si="14"/>
        <v>0</v>
      </c>
      <c r="BR87" s="121"/>
      <c r="BS87" s="122"/>
      <c r="BT87" s="20">
        <v>0.0</v>
      </c>
      <c r="BU87" s="20">
        <v>0.0</v>
      </c>
      <c r="BV87" s="20">
        <v>0.0</v>
      </c>
      <c r="BW87" s="20">
        <v>0.0</v>
      </c>
      <c r="BX87" s="155">
        <v>0.0</v>
      </c>
      <c r="BY87" s="156">
        <f t="shared" si="139"/>
        <v>0</v>
      </c>
      <c r="BZ87" s="124">
        <v>0.0</v>
      </c>
      <c r="CA87" s="45">
        <v>5479.0</v>
      </c>
      <c r="CB87" s="125">
        <v>0.7</v>
      </c>
      <c r="CC87" s="125">
        <v>0.2</v>
      </c>
      <c r="CD87" s="125" t="s">
        <v>112</v>
      </c>
      <c r="CE87" s="125" t="s">
        <v>112</v>
      </c>
      <c r="CF87" s="125">
        <v>0.1</v>
      </c>
      <c r="CG87" s="110">
        <f t="shared" ref="CG87:CK87" si="263">+IFERROR( $AV87 * CB87, 0 )</f>
        <v>0</v>
      </c>
      <c r="CH87" s="110">
        <f t="shared" si="263"/>
        <v>0</v>
      </c>
      <c r="CI87" s="110">
        <f t="shared" si="263"/>
        <v>0</v>
      </c>
      <c r="CJ87" s="110">
        <f t="shared" si="263"/>
        <v>0</v>
      </c>
      <c r="CK87" s="110">
        <f t="shared" si="263"/>
        <v>0</v>
      </c>
      <c r="CL87" s="126">
        <f t="shared" si="16"/>
        <v>0</v>
      </c>
      <c r="CM87" s="127">
        <v>3684.0</v>
      </c>
      <c r="CN87" s="128" t="e">
        <v>#N/A</v>
      </c>
      <c r="CO87" s="129" t="str">
        <f t="shared" si="17"/>
        <v>#N/A</v>
      </c>
      <c r="CP87" s="130">
        <v>0.0</v>
      </c>
      <c r="CQ87" s="131">
        <v>0.0</v>
      </c>
      <c r="CR87" s="132">
        <f t="shared" si="18"/>
        <v>0</v>
      </c>
      <c r="CS87" s="45" t="e">
        <v>#N/A</v>
      </c>
      <c r="CU87" s="8" t="s">
        <v>3</v>
      </c>
    </row>
    <row r="88" ht="13.5" customHeight="1" outlineLevel="1">
      <c r="B88" s="134">
        <v>0.0</v>
      </c>
      <c r="C88" s="88">
        <f t="shared" si="5"/>
        <v>81</v>
      </c>
      <c r="D88" s="87"/>
      <c r="E88" s="89"/>
      <c r="F88" s="89"/>
      <c r="G88" s="90"/>
      <c r="H88" s="157"/>
      <c r="I88" s="92"/>
      <c r="J88" s="93"/>
      <c r="K88" s="43">
        <f t="shared" si="6"/>
        <v>0</v>
      </c>
      <c r="L88" s="92">
        <v>1.0</v>
      </c>
      <c r="M88" s="157"/>
      <c r="N88" s="94" t="str">
        <f t="shared" si="7"/>
        <v> | </v>
      </c>
      <c r="O88" s="94"/>
      <c r="P88" s="95"/>
      <c r="Q88" s="95"/>
      <c r="R88" s="154">
        <f t="shared" si="112"/>
        <v>0</v>
      </c>
      <c r="S88" s="95">
        <v>0.0</v>
      </c>
      <c r="T88" s="96">
        <f t="shared" si="8"/>
        <v>0</v>
      </c>
      <c r="U88" s="97"/>
      <c r="V88" s="98" t="s">
        <v>109</v>
      </c>
      <c r="W88" s="99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1"/>
      <c r="AI88" s="102">
        <f t="shared" ref="AI88:AT88" si="264">+ W88 * ( 1 + $AJ$3 )</f>
        <v>0</v>
      </c>
      <c r="AJ88" s="102">
        <f t="shared" si="264"/>
        <v>0</v>
      </c>
      <c r="AK88" s="102">
        <f t="shared" si="264"/>
        <v>0</v>
      </c>
      <c r="AL88" s="102">
        <f t="shared" si="264"/>
        <v>0</v>
      </c>
      <c r="AM88" s="102">
        <f t="shared" si="264"/>
        <v>0</v>
      </c>
      <c r="AN88" s="102">
        <f t="shared" si="264"/>
        <v>0</v>
      </c>
      <c r="AO88" s="102">
        <f t="shared" si="264"/>
        <v>0</v>
      </c>
      <c r="AP88" s="102">
        <f t="shared" si="264"/>
        <v>0</v>
      </c>
      <c r="AQ88" s="102">
        <f t="shared" si="264"/>
        <v>0</v>
      </c>
      <c r="AR88" s="102">
        <f t="shared" si="264"/>
        <v>0</v>
      </c>
      <c r="AS88" s="102">
        <f t="shared" si="264"/>
        <v>0</v>
      </c>
      <c r="AT88" s="102">
        <f t="shared" si="264"/>
        <v>0</v>
      </c>
      <c r="AU88" s="104">
        <v>0.0</v>
      </c>
      <c r="AV88" s="105"/>
      <c r="AW88" s="106" t="str">
        <f t="shared" si="10"/>
        <v>n.a.</v>
      </c>
      <c r="AX88" s="90" t="s">
        <v>110</v>
      </c>
      <c r="AY88" s="107">
        <v>0.0</v>
      </c>
      <c r="AZ88" s="108">
        <f t="shared" si="11"/>
        <v>0</v>
      </c>
      <c r="BA88" s="109" t="str">
        <f t="shared" si="12"/>
        <v>n.a.</v>
      </c>
      <c r="BB88" s="110">
        <f t="shared" ref="BB88:BF88" si="265">+IFERROR( $AZ88 * CB88, 0 )</f>
        <v>0</v>
      </c>
      <c r="BC88" s="110">
        <f t="shared" si="265"/>
        <v>0</v>
      </c>
      <c r="BD88" s="110">
        <f t="shared" si="265"/>
        <v>0</v>
      </c>
      <c r="BE88" s="110">
        <f t="shared" si="265"/>
        <v>0</v>
      </c>
      <c r="BF88" s="111">
        <f t="shared" si="265"/>
        <v>0</v>
      </c>
      <c r="BG88" s="112"/>
      <c r="BH88" s="113"/>
      <c r="BI88" s="114" t="s">
        <v>27</v>
      </c>
      <c r="BJ88" s="115">
        <v>15.0</v>
      </c>
      <c r="BK88" s="116" t="s">
        <v>111</v>
      </c>
      <c r="BL88" s="117">
        <v>0.04</v>
      </c>
      <c r="BM88" s="118"/>
      <c r="BN88" s="119"/>
      <c r="BO88" s="120">
        <v>0.0</v>
      </c>
      <c r="BP88" s="28">
        <v>0.04</v>
      </c>
      <c r="BQ88" s="43">
        <f t="shared" si="14"/>
        <v>0</v>
      </c>
      <c r="BR88" s="121"/>
      <c r="BS88" s="122"/>
      <c r="BT88" s="20">
        <v>0.0</v>
      </c>
      <c r="BU88" s="20">
        <v>0.0</v>
      </c>
      <c r="BV88" s="20">
        <v>0.0</v>
      </c>
      <c r="BW88" s="20">
        <v>0.0</v>
      </c>
      <c r="BX88" s="155">
        <v>0.0</v>
      </c>
      <c r="BY88" s="156">
        <f t="shared" si="139"/>
        <v>0</v>
      </c>
      <c r="BZ88" s="124">
        <v>0.0</v>
      </c>
      <c r="CA88" s="45">
        <v>5479.0</v>
      </c>
      <c r="CB88" s="125">
        <v>0.7</v>
      </c>
      <c r="CC88" s="125">
        <v>0.2</v>
      </c>
      <c r="CD88" s="125" t="s">
        <v>112</v>
      </c>
      <c r="CE88" s="125" t="s">
        <v>112</v>
      </c>
      <c r="CF88" s="125">
        <v>0.1</v>
      </c>
      <c r="CG88" s="110">
        <f t="shared" ref="CG88:CK88" si="266">+IFERROR( $AV88 * CB88, 0 )</f>
        <v>0</v>
      </c>
      <c r="CH88" s="110">
        <f t="shared" si="266"/>
        <v>0</v>
      </c>
      <c r="CI88" s="110">
        <f t="shared" si="266"/>
        <v>0</v>
      </c>
      <c r="CJ88" s="110">
        <f t="shared" si="266"/>
        <v>0</v>
      </c>
      <c r="CK88" s="110">
        <f t="shared" si="266"/>
        <v>0</v>
      </c>
      <c r="CL88" s="126">
        <f t="shared" si="16"/>
        <v>0</v>
      </c>
      <c r="CM88" s="127">
        <v>3684.0</v>
      </c>
      <c r="CN88" s="128" t="e">
        <v>#N/A</v>
      </c>
      <c r="CO88" s="129" t="str">
        <f t="shared" si="17"/>
        <v>#N/A</v>
      </c>
      <c r="CP88" s="130">
        <v>0.0</v>
      </c>
      <c r="CQ88" s="131">
        <v>0.0</v>
      </c>
      <c r="CR88" s="132">
        <f t="shared" si="18"/>
        <v>0</v>
      </c>
      <c r="CS88" s="45" t="e">
        <v>#N/A</v>
      </c>
      <c r="CU88" s="8" t="s">
        <v>3</v>
      </c>
    </row>
    <row r="89" ht="13.5" customHeight="1" outlineLevel="1">
      <c r="B89" s="134">
        <v>0.0</v>
      </c>
      <c r="C89" s="88">
        <f t="shared" si="5"/>
        <v>82</v>
      </c>
      <c r="D89" s="87"/>
      <c r="E89" s="89"/>
      <c r="F89" s="89"/>
      <c r="G89" s="90"/>
      <c r="H89" s="157"/>
      <c r="I89" s="92"/>
      <c r="J89" s="93"/>
      <c r="K89" s="43">
        <f t="shared" si="6"/>
        <v>0</v>
      </c>
      <c r="L89" s="92">
        <v>1.0</v>
      </c>
      <c r="M89" s="157"/>
      <c r="N89" s="94" t="str">
        <f t="shared" si="7"/>
        <v> | </v>
      </c>
      <c r="O89" s="94"/>
      <c r="P89" s="95"/>
      <c r="Q89" s="95"/>
      <c r="R89" s="154">
        <f t="shared" si="112"/>
        <v>0</v>
      </c>
      <c r="S89" s="95">
        <v>0.0</v>
      </c>
      <c r="T89" s="96">
        <f t="shared" si="8"/>
        <v>0</v>
      </c>
      <c r="U89" s="97"/>
      <c r="V89" s="98" t="s">
        <v>109</v>
      </c>
      <c r="W89" s="99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1"/>
      <c r="AI89" s="102">
        <f t="shared" ref="AI89:AT89" si="267">+ W89 * ( 1 + $AJ$3 )</f>
        <v>0</v>
      </c>
      <c r="AJ89" s="102">
        <f t="shared" si="267"/>
        <v>0</v>
      </c>
      <c r="AK89" s="102">
        <f t="shared" si="267"/>
        <v>0</v>
      </c>
      <c r="AL89" s="102">
        <f t="shared" si="267"/>
        <v>0</v>
      </c>
      <c r="AM89" s="102">
        <f t="shared" si="267"/>
        <v>0</v>
      </c>
      <c r="AN89" s="102">
        <f t="shared" si="267"/>
        <v>0</v>
      </c>
      <c r="AO89" s="102">
        <f t="shared" si="267"/>
        <v>0</v>
      </c>
      <c r="AP89" s="102">
        <f t="shared" si="267"/>
        <v>0</v>
      </c>
      <c r="AQ89" s="102">
        <f t="shared" si="267"/>
        <v>0</v>
      </c>
      <c r="AR89" s="102">
        <f t="shared" si="267"/>
        <v>0</v>
      </c>
      <c r="AS89" s="102">
        <f t="shared" si="267"/>
        <v>0</v>
      </c>
      <c r="AT89" s="102">
        <f t="shared" si="267"/>
        <v>0</v>
      </c>
      <c r="AU89" s="104">
        <v>0.0</v>
      </c>
      <c r="AV89" s="105"/>
      <c r="AW89" s="106" t="str">
        <f t="shared" si="10"/>
        <v>n.a.</v>
      </c>
      <c r="AX89" s="90" t="s">
        <v>110</v>
      </c>
      <c r="AY89" s="107">
        <v>0.0</v>
      </c>
      <c r="AZ89" s="108">
        <f t="shared" si="11"/>
        <v>0</v>
      </c>
      <c r="BA89" s="109" t="str">
        <f t="shared" si="12"/>
        <v>n.a.</v>
      </c>
      <c r="BB89" s="110">
        <f t="shared" ref="BB89:BF89" si="268">+IFERROR( $AZ89 * CB89, 0 )</f>
        <v>0</v>
      </c>
      <c r="BC89" s="110">
        <f t="shared" si="268"/>
        <v>0</v>
      </c>
      <c r="BD89" s="110">
        <f t="shared" si="268"/>
        <v>0</v>
      </c>
      <c r="BE89" s="110">
        <f t="shared" si="268"/>
        <v>0</v>
      </c>
      <c r="BF89" s="111">
        <f t="shared" si="268"/>
        <v>0</v>
      </c>
      <c r="BG89" s="112"/>
      <c r="BH89" s="113"/>
      <c r="BI89" s="114" t="s">
        <v>27</v>
      </c>
      <c r="BJ89" s="115">
        <v>15.0</v>
      </c>
      <c r="BK89" s="116" t="s">
        <v>111</v>
      </c>
      <c r="BL89" s="117">
        <v>0.04</v>
      </c>
      <c r="BM89" s="118"/>
      <c r="BN89" s="119"/>
      <c r="BO89" s="120">
        <v>0.0</v>
      </c>
      <c r="BP89" s="28">
        <v>0.04</v>
      </c>
      <c r="BQ89" s="43">
        <f t="shared" si="14"/>
        <v>0</v>
      </c>
      <c r="BR89" s="121"/>
      <c r="BS89" s="122"/>
      <c r="BT89" s="20">
        <v>0.0</v>
      </c>
      <c r="BU89" s="20">
        <v>0.0</v>
      </c>
      <c r="BV89" s="20">
        <v>0.0</v>
      </c>
      <c r="BW89" s="20">
        <v>0.0</v>
      </c>
      <c r="BX89" s="155">
        <v>0.0</v>
      </c>
      <c r="BY89" s="156">
        <f t="shared" si="139"/>
        <v>0</v>
      </c>
      <c r="BZ89" s="124">
        <v>0.0</v>
      </c>
      <c r="CA89" s="45">
        <v>5479.0</v>
      </c>
      <c r="CB89" s="125">
        <v>0.7</v>
      </c>
      <c r="CC89" s="125">
        <v>0.2</v>
      </c>
      <c r="CD89" s="125" t="s">
        <v>112</v>
      </c>
      <c r="CE89" s="125" t="s">
        <v>112</v>
      </c>
      <c r="CF89" s="125">
        <v>0.1</v>
      </c>
      <c r="CG89" s="110">
        <f t="shared" ref="CG89:CK89" si="269">+IFERROR( $AV89 * CB89, 0 )</f>
        <v>0</v>
      </c>
      <c r="CH89" s="110">
        <f t="shared" si="269"/>
        <v>0</v>
      </c>
      <c r="CI89" s="110">
        <f t="shared" si="269"/>
        <v>0</v>
      </c>
      <c r="CJ89" s="110">
        <f t="shared" si="269"/>
        <v>0</v>
      </c>
      <c r="CK89" s="110">
        <f t="shared" si="269"/>
        <v>0</v>
      </c>
      <c r="CL89" s="126">
        <f t="shared" si="16"/>
        <v>0</v>
      </c>
      <c r="CM89" s="127">
        <v>3684.0</v>
      </c>
      <c r="CN89" s="128" t="e">
        <v>#N/A</v>
      </c>
      <c r="CO89" s="129" t="str">
        <f t="shared" si="17"/>
        <v>#N/A</v>
      </c>
      <c r="CP89" s="130">
        <v>0.0</v>
      </c>
      <c r="CQ89" s="131">
        <v>0.0</v>
      </c>
      <c r="CR89" s="132">
        <f t="shared" si="18"/>
        <v>0</v>
      </c>
      <c r="CS89" s="45" t="e">
        <v>#N/A</v>
      </c>
      <c r="CU89" s="8" t="s">
        <v>3</v>
      </c>
    </row>
    <row r="90" ht="13.5" customHeight="1" outlineLevel="1">
      <c r="B90" s="134">
        <v>0.0</v>
      </c>
      <c r="C90" s="88">
        <f t="shared" si="5"/>
        <v>83</v>
      </c>
      <c r="D90" s="87"/>
      <c r="E90" s="89"/>
      <c r="F90" s="89"/>
      <c r="G90" s="90"/>
      <c r="H90" s="157"/>
      <c r="I90" s="92"/>
      <c r="J90" s="93"/>
      <c r="K90" s="43">
        <f t="shared" si="6"/>
        <v>0</v>
      </c>
      <c r="L90" s="92">
        <v>1.0</v>
      </c>
      <c r="M90" s="157"/>
      <c r="N90" s="94" t="str">
        <f t="shared" si="7"/>
        <v> | </v>
      </c>
      <c r="O90" s="94"/>
      <c r="P90" s="95"/>
      <c r="Q90" s="95"/>
      <c r="R90" s="154">
        <f t="shared" si="112"/>
        <v>0</v>
      </c>
      <c r="S90" s="95">
        <v>0.0</v>
      </c>
      <c r="T90" s="96">
        <f t="shared" si="8"/>
        <v>0</v>
      </c>
      <c r="U90" s="97"/>
      <c r="V90" s="98" t="s">
        <v>109</v>
      </c>
      <c r="W90" s="99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1"/>
      <c r="AI90" s="102">
        <f t="shared" ref="AI90:AT90" si="270">+ W90 * ( 1 + $AJ$3 )</f>
        <v>0</v>
      </c>
      <c r="AJ90" s="102">
        <f t="shared" si="270"/>
        <v>0</v>
      </c>
      <c r="AK90" s="102">
        <f t="shared" si="270"/>
        <v>0</v>
      </c>
      <c r="AL90" s="102">
        <f t="shared" si="270"/>
        <v>0</v>
      </c>
      <c r="AM90" s="102">
        <f t="shared" si="270"/>
        <v>0</v>
      </c>
      <c r="AN90" s="102">
        <f t="shared" si="270"/>
        <v>0</v>
      </c>
      <c r="AO90" s="102">
        <f t="shared" si="270"/>
        <v>0</v>
      </c>
      <c r="AP90" s="102">
        <f t="shared" si="270"/>
        <v>0</v>
      </c>
      <c r="AQ90" s="102">
        <f t="shared" si="270"/>
        <v>0</v>
      </c>
      <c r="AR90" s="102">
        <f t="shared" si="270"/>
        <v>0</v>
      </c>
      <c r="AS90" s="102">
        <f t="shared" si="270"/>
        <v>0</v>
      </c>
      <c r="AT90" s="102">
        <f t="shared" si="270"/>
        <v>0</v>
      </c>
      <c r="AU90" s="104">
        <v>0.0</v>
      </c>
      <c r="AV90" s="105"/>
      <c r="AW90" s="106" t="str">
        <f t="shared" si="10"/>
        <v>n.a.</v>
      </c>
      <c r="AX90" s="90" t="s">
        <v>110</v>
      </c>
      <c r="AY90" s="107">
        <v>0.0</v>
      </c>
      <c r="AZ90" s="108">
        <f t="shared" si="11"/>
        <v>0</v>
      </c>
      <c r="BA90" s="109" t="str">
        <f t="shared" si="12"/>
        <v>n.a.</v>
      </c>
      <c r="BB90" s="110">
        <f t="shared" ref="BB90:BF90" si="271">+IFERROR( $AZ90 * CB90, 0 )</f>
        <v>0</v>
      </c>
      <c r="BC90" s="110">
        <f t="shared" si="271"/>
        <v>0</v>
      </c>
      <c r="BD90" s="110">
        <f t="shared" si="271"/>
        <v>0</v>
      </c>
      <c r="BE90" s="110">
        <f t="shared" si="271"/>
        <v>0</v>
      </c>
      <c r="BF90" s="111">
        <f t="shared" si="271"/>
        <v>0</v>
      </c>
      <c r="BG90" s="112"/>
      <c r="BH90" s="113"/>
      <c r="BI90" s="114" t="s">
        <v>27</v>
      </c>
      <c r="BJ90" s="115">
        <v>15.0</v>
      </c>
      <c r="BK90" s="116" t="s">
        <v>111</v>
      </c>
      <c r="BL90" s="117">
        <v>0.04</v>
      </c>
      <c r="BM90" s="118"/>
      <c r="BN90" s="119"/>
      <c r="BO90" s="120">
        <v>0.0</v>
      </c>
      <c r="BP90" s="28">
        <v>0.04</v>
      </c>
      <c r="BQ90" s="43">
        <f t="shared" si="14"/>
        <v>0</v>
      </c>
      <c r="BR90" s="121"/>
      <c r="BS90" s="122"/>
      <c r="BT90" s="20">
        <v>0.0</v>
      </c>
      <c r="BU90" s="20">
        <v>0.0</v>
      </c>
      <c r="BV90" s="20">
        <v>0.0</v>
      </c>
      <c r="BW90" s="20">
        <v>0.0</v>
      </c>
      <c r="BX90" s="155">
        <v>0.0</v>
      </c>
      <c r="BY90" s="156">
        <f t="shared" si="139"/>
        <v>0</v>
      </c>
      <c r="BZ90" s="124">
        <v>0.0</v>
      </c>
      <c r="CA90" s="45">
        <v>5479.0</v>
      </c>
      <c r="CB90" s="125">
        <v>0.7</v>
      </c>
      <c r="CC90" s="125">
        <v>0.2</v>
      </c>
      <c r="CD90" s="125" t="s">
        <v>112</v>
      </c>
      <c r="CE90" s="125" t="s">
        <v>112</v>
      </c>
      <c r="CF90" s="125">
        <v>0.1</v>
      </c>
      <c r="CG90" s="110">
        <f t="shared" ref="CG90:CK90" si="272">+IFERROR( $AV90 * CB90, 0 )</f>
        <v>0</v>
      </c>
      <c r="CH90" s="110">
        <f t="shared" si="272"/>
        <v>0</v>
      </c>
      <c r="CI90" s="110">
        <f t="shared" si="272"/>
        <v>0</v>
      </c>
      <c r="CJ90" s="110">
        <f t="shared" si="272"/>
        <v>0</v>
      </c>
      <c r="CK90" s="110">
        <f t="shared" si="272"/>
        <v>0</v>
      </c>
      <c r="CL90" s="126">
        <f t="shared" si="16"/>
        <v>0</v>
      </c>
      <c r="CM90" s="127">
        <v>3684.0</v>
      </c>
      <c r="CN90" s="128" t="e">
        <v>#N/A</v>
      </c>
      <c r="CO90" s="129" t="str">
        <f t="shared" si="17"/>
        <v>#N/A</v>
      </c>
      <c r="CP90" s="130">
        <v>0.0</v>
      </c>
      <c r="CQ90" s="131">
        <v>0.0</v>
      </c>
      <c r="CR90" s="132">
        <f t="shared" si="18"/>
        <v>0</v>
      </c>
      <c r="CS90" s="45" t="e">
        <v>#N/A</v>
      </c>
      <c r="CU90" s="8" t="s">
        <v>3</v>
      </c>
    </row>
    <row r="91" ht="13.5" customHeight="1" outlineLevel="1">
      <c r="B91" s="134">
        <v>0.0</v>
      </c>
      <c r="C91" s="88">
        <f t="shared" si="5"/>
        <v>84</v>
      </c>
      <c r="D91" s="87"/>
      <c r="E91" s="89"/>
      <c r="F91" s="89"/>
      <c r="G91" s="90"/>
      <c r="H91" s="157"/>
      <c r="I91" s="92"/>
      <c r="J91" s="93"/>
      <c r="K91" s="43">
        <f t="shared" si="6"/>
        <v>0</v>
      </c>
      <c r="L91" s="92">
        <v>1.0</v>
      </c>
      <c r="M91" s="157"/>
      <c r="N91" s="94" t="str">
        <f t="shared" si="7"/>
        <v> | </v>
      </c>
      <c r="O91" s="94"/>
      <c r="P91" s="95"/>
      <c r="Q91" s="95"/>
      <c r="R91" s="154">
        <f t="shared" si="112"/>
        <v>0</v>
      </c>
      <c r="S91" s="95">
        <v>0.0</v>
      </c>
      <c r="T91" s="96">
        <f t="shared" si="8"/>
        <v>0</v>
      </c>
      <c r="U91" s="97"/>
      <c r="V91" s="98" t="s">
        <v>109</v>
      </c>
      <c r="W91" s="99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1"/>
      <c r="AI91" s="102">
        <f t="shared" ref="AI91:AT91" si="273">+ W91 * ( 1 + $AJ$3 )</f>
        <v>0</v>
      </c>
      <c r="AJ91" s="102">
        <f t="shared" si="273"/>
        <v>0</v>
      </c>
      <c r="AK91" s="102">
        <f t="shared" si="273"/>
        <v>0</v>
      </c>
      <c r="AL91" s="102">
        <f t="shared" si="273"/>
        <v>0</v>
      </c>
      <c r="AM91" s="102">
        <f t="shared" si="273"/>
        <v>0</v>
      </c>
      <c r="AN91" s="102">
        <f t="shared" si="273"/>
        <v>0</v>
      </c>
      <c r="AO91" s="102">
        <f t="shared" si="273"/>
        <v>0</v>
      </c>
      <c r="AP91" s="102">
        <f t="shared" si="273"/>
        <v>0</v>
      </c>
      <c r="AQ91" s="102">
        <f t="shared" si="273"/>
        <v>0</v>
      </c>
      <c r="AR91" s="102">
        <f t="shared" si="273"/>
        <v>0</v>
      </c>
      <c r="AS91" s="102">
        <f t="shared" si="273"/>
        <v>0</v>
      </c>
      <c r="AT91" s="102">
        <f t="shared" si="273"/>
        <v>0</v>
      </c>
      <c r="AU91" s="104">
        <v>0.0</v>
      </c>
      <c r="AV91" s="105"/>
      <c r="AW91" s="106" t="str">
        <f t="shared" si="10"/>
        <v>n.a.</v>
      </c>
      <c r="AX91" s="90" t="s">
        <v>110</v>
      </c>
      <c r="AY91" s="107">
        <v>0.0</v>
      </c>
      <c r="AZ91" s="108">
        <f t="shared" si="11"/>
        <v>0</v>
      </c>
      <c r="BA91" s="109" t="str">
        <f t="shared" si="12"/>
        <v>n.a.</v>
      </c>
      <c r="BB91" s="110">
        <f t="shared" ref="BB91:BF91" si="274">+IFERROR( $AZ91 * CB91, 0 )</f>
        <v>0</v>
      </c>
      <c r="BC91" s="110">
        <f t="shared" si="274"/>
        <v>0</v>
      </c>
      <c r="BD91" s="110">
        <f t="shared" si="274"/>
        <v>0</v>
      </c>
      <c r="BE91" s="110">
        <f t="shared" si="274"/>
        <v>0</v>
      </c>
      <c r="BF91" s="111">
        <f t="shared" si="274"/>
        <v>0</v>
      </c>
      <c r="BG91" s="112"/>
      <c r="BH91" s="113"/>
      <c r="BI91" s="114" t="s">
        <v>27</v>
      </c>
      <c r="BJ91" s="115">
        <v>15.0</v>
      </c>
      <c r="BK91" s="116" t="s">
        <v>111</v>
      </c>
      <c r="BL91" s="117">
        <v>0.04</v>
      </c>
      <c r="BM91" s="118"/>
      <c r="BN91" s="119"/>
      <c r="BO91" s="120">
        <v>0.0</v>
      </c>
      <c r="BP91" s="28">
        <v>0.04</v>
      </c>
      <c r="BQ91" s="43">
        <f t="shared" si="14"/>
        <v>0</v>
      </c>
      <c r="BR91" s="121"/>
      <c r="BS91" s="122"/>
      <c r="BT91" s="20">
        <v>0.0</v>
      </c>
      <c r="BU91" s="20">
        <v>0.0</v>
      </c>
      <c r="BV91" s="20">
        <v>0.0</v>
      </c>
      <c r="BW91" s="20">
        <v>0.0</v>
      </c>
      <c r="BX91" s="155">
        <v>0.0</v>
      </c>
      <c r="BY91" s="156">
        <f t="shared" si="139"/>
        <v>0</v>
      </c>
      <c r="BZ91" s="124">
        <v>0.0</v>
      </c>
      <c r="CA91" s="45">
        <v>5479.0</v>
      </c>
      <c r="CB91" s="125">
        <v>0.7</v>
      </c>
      <c r="CC91" s="125">
        <v>0.2</v>
      </c>
      <c r="CD91" s="125" t="s">
        <v>112</v>
      </c>
      <c r="CE91" s="125" t="s">
        <v>112</v>
      </c>
      <c r="CF91" s="125">
        <v>0.1</v>
      </c>
      <c r="CG91" s="110">
        <f t="shared" ref="CG91:CK91" si="275">+IFERROR( $AV91 * CB91, 0 )</f>
        <v>0</v>
      </c>
      <c r="CH91" s="110">
        <f t="shared" si="275"/>
        <v>0</v>
      </c>
      <c r="CI91" s="110">
        <f t="shared" si="275"/>
        <v>0</v>
      </c>
      <c r="CJ91" s="110">
        <f t="shared" si="275"/>
        <v>0</v>
      </c>
      <c r="CK91" s="110">
        <f t="shared" si="275"/>
        <v>0</v>
      </c>
      <c r="CL91" s="126">
        <f t="shared" si="16"/>
        <v>0</v>
      </c>
      <c r="CM91" s="127">
        <v>3684.0</v>
      </c>
      <c r="CN91" s="128" t="e">
        <v>#N/A</v>
      </c>
      <c r="CO91" s="129" t="str">
        <f t="shared" si="17"/>
        <v>#N/A</v>
      </c>
      <c r="CP91" s="130">
        <v>0.0</v>
      </c>
      <c r="CQ91" s="131">
        <v>0.0</v>
      </c>
      <c r="CR91" s="132">
        <f t="shared" si="18"/>
        <v>0</v>
      </c>
      <c r="CS91" s="45" t="e">
        <v>#N/A</v>
      </c>
      <c r="CU91" s="8" t="s">
        <v>3</v>
      </c>
    </row>
    <row r="92" ht="13.5" customHeight="1" outlineLevel="1">
      <c r="B92" s="134">
        <v>0.0</v>
      </c>
      <c r="C92" s="88">
        <f t="shared" si="5"/>
        <v>85</v>
      </c>
      <c r="D92" s="87"/>
      <c r="E92" s="89"/>
      <c r="F92" s="89"/>
      <c r="G92" s="90"/>
      <c r="H92" s="157"/>
      <c r="I92" s="92"/>
      <c r="J92" s="93"/>
      <c r="K92" s="43">
        <f t="shared" si="6"/>
        <v>0</v>
      </c>
      <c r="L92" s="92">
        <v>1.0</v>
      </c>
      <c r="M92" s="157"/>
      <c r="N92" s="94" t="str">
        <f t="shared" si="7"/>
        <v> | </v>
      </c>
      <c r="O92" s="94"/>
      <c r="P92" s="95"/>
      <c r="Q92" s="95"/>
      <c r="R92" s="154">
        <f t="shared" si="112"/>
        <v>0</v>
      </c>
      <c r="S92" s="95">
        <v>0.0</v>
      </c>
      <c r="T92" s="96">
        <f t="shared" si="8"/>
        <v>0</v>
      </c>
      <c r="U92" s="97"/>
      <c r="V92" s="98" t="s">
        <v>109</v>
      </c>
      <c r="W92" s="99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1"/>
      <c r="AI92" s="102">
        <f t="shared" ref="AI92:AT92" si="276">+ W92 * ( 1 + $AJ$3 )</f>
        <v>0</v>
      </c>
      <c r="AJ92" s="102">
        <f t="shared" si="276"/>
        <v>0</v>
      </c>
      <c r="AK92" s="102">
        <f t="shared" si="276"/>
        <v>0</v>
      </c>
      <c r="AL92" s="102">
        <f t="shared" si="276"/>
        <v>0</v>
      </c>
      <c r="AM92" s="102">
        <f t="shared" si="276"/>
        <v>0</v>
      </c>
      <c r="AN92" s="102">
        <f t="shared" si="276"/>
        <v>0</v>
      </c>
      <c r="AO92" s="102">
        <f t="shared" si="276"/>
        <v>0</v>
      </c>
      <c r="AP92" s="102">
        <f t="shared" si="276"/>
        <v>0</v>
      </c>
      <c r="AQ92" s="102">
        <f t="shared" si="276"/>
        <v>0</v>
      </c>
      <c r="AR92" s="102">
        <f t="shared" si="276"/>
        <v>0</v>
      </c>
      <c r="AS92" s="102">
        <f t="shared" si="276"/>
        <v>0</v>
      </c>
      <c r="AT92" s="102">
        <f t="shared" si="276"/>
        <v>0</v>
      </c>
      <c r="AU92" s="104">
        <v>0.0</v>
      </c>
      <c r="AV92" s="105"/>
      <c r="AW92" s="106" t="str">
        <f t="shared" si="10"/>
        <v>n.a.</v>
      </c>
      <c r="AX92" s="90" t="s">
        <v>110</v>
      </c>
      <c r="AY92" s="107">
        <v>0.0</v>
      </c>
      <c r="AZ92" s="108">
        <f t="shared" si="11"/>
        <v>0</v>
      </c>
      <c r="BA92" s="109" t="str">
        <f t="shared" si="12"/>
        <v>n.a.</v>
      </c>
      <c r="BB92" s="110">
        <f t="shared" ref="BB92:BF92" si="277">+IFERROR( $AZ92 * CB92, 0 )</f>
        <v>0</v>
      </c>
      <c r="BC92" s="110">
        <f t="shared" si="277"/>
        <v>0</v>
      </c>
      <c r="BD92" s="110">
        <f t="shared" si="277"/>
        <v>0</v>
      </c>
      <c r="BE92" s="110">
        <f t="shared" si="277"/>
        <v>0</v>
      </c>
      <c r="BF92" s="111">
        <f t="shared" si="277"/>
        <v>0</v>
      </c>
      <c r="BG92" s="112"/>
      <c r="BH92" s="113"/>
      <c r="BI92" s="114" t="s">
        <v>27</v>
      </c>
      <c r="BJ92" s="115">
        <v>15.0</v>
      </c>
      <c r="BK92" s="116" t="s">
        <v>111</v>
      </c>
      <c r="BL92" s="117">
        <v>0.04</v>
      </c>
      <c r="BM92" s="118"/>
      <c r="BN92" s="119"/>
      <c r="BO92" s="120">
        <v>0.0</v>
      </c>
      <c r="BP92" s="28">
        <v>0.04</v>
      </c>
      <c r="BQ92" s="43">
        <f t="shared" si="14"/>
        <v>0</v>
      </c>
      <c r="BR92" s="121"/>
      <c r="BS92" s="122"/>
      <c r="BT92" s="20">
        <v>0.0</v>
      </c>
      <c r="BU92" s="20">
        <v>0.0</v>
      </c>
      <c r="BV92" s="20">
        <v>0.0</v>
      </c>
      <c r="BW92" s="20">
        <v>0.0</v>
      </c>
      <c r="BX92" s="155">
        <v>0.0</v>
      </c>
      <c r="BY92" s="156">
        <f t="shared" si="139"/>
        <v>0</v>
      </c>
      <c r="BZ92" s="124">
        <v>0.0</v>
      </c>
      <c r="CA92" s="45">
        <v>5479.0</v>
      </c>
      <c r="CB92" s="125">
        <v>0.7</v>
      </c>
      <c r="CC92" s="125">
        <v>0.2</v>
      </c>
      <c r="CD92" s="125" t="s">
        <v>112</v>
      </c>
      <c r="CE92" s="125" t="s">
        <v>112</v>
      </c>
      <c r="CF92" s="125">
        <v>0.1</v>
      </c>
      <c r="CG92" s="110">
        <f t="shared" ref="CG92:CK92" si="278">+IFERROR( $AV92 * CB92, 0 )</f>
        <v>0</v>
      </c>
      <c r="CH92" s="110">
        <f t="shared" si="278"/>
        <v>0</v>
      </c>
      <c r="CI92" s="110">
        <f t="shared" si="278"/>
        <v>0</v>
      </c>
      <c r="CJ92" s="110">
        <f t="shared" si="278"/>
        <v>0</v>
      </c>
      <c r="CK92" s="110">
        <f t="shared" si="278"/>
        <v>0</v>
      </c>
      <c r="CL92" s="126">
        <f t="shared" si="16"/>
        <v>0</v>
      </c>
      <c r="CM92" s="127">
        <v>3684.0</v>
      </c>
      <c r="CN92" s="128" t="e">
        <v>#N/A</v>
      </c>
      <c r="CO92" s="129" t="str">
        <f t="shared" si="17"/>
        <v>#N/A</v>
      </c>
      <c r="CP92" s="130">
        <v>0.0</v>
      </c>
      <c r="CQ92" s="131">
        <v>0.0</v>
      </c>
      <c r="CR92" s="132">
        <f t="shared" si="18"/>
        <v>0</v>
      </c>
      <c r="CS92" s="45" t="e">
        <v>#N/A</v>
      </c>
      <c r="CU92" s="8" t="s">
        <v>3</v>
      </c>
    </row>
    <row r="93" ht="13.5" customHeight="1" outlineLevel="1">
      <c r="B93" s="134">
        <v>0.0</v>
      </c>
      <c r="C93" s="88">
        <f t="shared" si="5"/>
        <v>86</v>
      </c>
      <c r="D93" s="87"/>
      <c r="E93" s="89"/>
      <c r="F93" s="89"/>
      <c r="G93" s="90"/>
      <c r="H93" s="157"/>
      <c r="I93" s="92"/>
      <c r="J93" s="93"/>
      <c r="K93" s="43">
        <f t="shared" si="6"/>
        <v>0</v>
      </c>
      <c r="L93" s="92">
        <v>1.0</v>
      </c>
      <c r="M93" s="157"/>
      <c r="N93" s="94" t="str">
        <f t="shared" si="7"/>
        <v> | </v>
      </c>
      <c r="O93" s="94"/>
      <c r="P93" s="95"/>
      <c r="Q93" s="95"/>
      <c r="R93" s="154">
        <f t="shared" si="112"/>
        <v>0</v>
      </c>
      <c r="S93" s="95">
        <v>0.0</v>
      </c>
      <c r="T93" s="96">
        <f t="shared" si="8"/>
        <v>0</v>
      </c>
      <c r="U93" s="97"/>
      <c r="V93" s="98" t="s">
        <v>109</v>
      </c>
      <c r="W93" s="99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1"/>
      <c r="AI93" s="102">
        <f t="shared" ref="AI93:AT93" si="279">+ W93 * ( 1 + $AJ$3 )</f>
        <v>0</v>
      </c>
      <c r="AJ93" s="102">
        <f t="shared" si="279"/>
        <v>0</v>
      </c>
      <c r="AK93" s="102">
        <f t="shared" si="279"/>
        <v>0</v>
      </c>
      <c r="AL93" s="102">
        <f t="shared" si="279"/>
        <v>0</v>
      </c>
      <c r="AM93" s="102">
        <f t="shared" si="279"/>
        <v>0</v>
      </c>
      <c r="AN93" s="102">
        <f t="shared" si="279"/>
        <v>0</v>
      </c>
      <c r="AO93" s="102">
        <f t="shared" si="279"/>
        <v>0</v>
      </c>
      <c r="AP93" s="102">
        <f t="shared" si="279"/>
        <v>0</v>
      </c>
      <c r="AQ93" s="102">
        <f t="shared" si="279"/>
        <v>0</v>
      </c>
      <c r="AR93" s="102">
        <f t="shared" si="279"/>
        <v>0</v>
      </c>
      <c r="AS93" s="102">
        <f t="shared" si="279"/>
        <v>0</v>
      </c>
      <c r="AT93" s="102">
        <f t="shared" si="279"/>
        <v>0</v>
      </c>
      <c r="AU93" s="104">
        <v>0.0</v>
      </c>
      <c r="AV93" s="105"/>
      <c r="AW93" s="106" t="str">
        <f t="shared" si="10"/>
        <v>n.a.</v>
      </c>
      <c r="AX93" s="90" t="s">
        <v>110</v>
      </c>
      <c r="AY93" s="107">
        <v>0.0</v>
      </c>
      <c r="AZ93" s="108">
        <f t="shared" si="11"/>
        <v>0</v>
      </c>
      <c r="BA93" s="109" t="str">
        <f t="shared" si="12"/>
        <v>n.a.</v>
      </c>
      <c r="BB93" s="110">
        <f t="shared" ref="BB93:BF93" si="280">+IFERROR( $AZ93 * CB93, 0 )</f>
        <v>0</v>
      </c>
      <c r="BC93" s="110">
        <f t="shared" si="280"/>
        <v>0</v>
      </c>
      <c r="BD93" s="110">
        <f t="shared" si="280"/>
        <v>0</v>
      </c>
      <c r="BE93" s="110">
        <f t="shared" si="280"/>
        <v>0</v>
      </c>
      <c r="BF93" s="111">
        <f t="shared" si="280"/>
        <v>0</v>
      </c>
      <c r="BG93" s="112"/>
      <c r="BH93" s="113"/>
      <c r="BI93" s="114" t="s">
        <v>27</v>
      </c>
      <c r="BJ93" s="115">
        <v>15.0</v>
      </c>
      <c r="BK93" s="116" t="s">
        <v>111</v>
      </c>
      <c r="BL93" s="117">
        <v>0.04</v>
      </c>
      <c r="BM93" s="118"/>
      <c r="BN93" s="119"/>
      <c r="BO93" s="120">
        <v>0.0</v>
      </c>
      <c r="BP93" s="28">
        <v>0.04</v>
      </c>
      <c r="BQ93" s="43">
        <f t="shared" si="14"/>
        <v>0</v>
      </c>
      <c r="BR93" s="121"/>
      <c r="BS93" s="122"/>
      <c r="BT93" s="20">
        <v>0.0</v>
      </c>
      <c r="BU93" s="20">
        <v>0.0</v>
      </c>
      <c r="BV93" s="20">
        <v>0.0</v>
      </c>
      <c r="BW93" s="20">
        <v>0.0</v>
      </c>
      <c r="BX93" s="155">
        <v>0.0</v>
      </c>
      <c r="BY93" s="156">
        <f t="shared" si="139"/>
        <v>0</v>
      </c>
      <c r="BZ93" s="124">
        <v>0.0</v>
      </c>
      <c r="CA93" s="45">
        <v>5479.0</v>
      </c>
      <c r="CB93" s="125">
        <v>0.7</v>
      </c>
      <c r="CC93" s="125">
        <v>0.2</v>
      </c>
      <c r="CD93" s="125" t="s">
        <v>112</v>
      </c>
      <c r="CE93" s="125" t="s">
        <v>112</v>
      </c>
      <c r="CF93" s="125">
        <v>0.1</v>
      </c>
      <c r="CG93" s="110">
        <f t="shared" ref="CG93:CK93" si="281">+IFERROR( $AV93 * CB93, 0 )</f>
        <v>0</v>
      </c>
      <c r="CH93" s="110">
        <f t="shared" si="281"/>
        <v>0</v>
      </c>
      <c r="CI93" s="110">
        <f t="shared" si="281"/>
        <v>0</v>
      </c>
      <c r="CJ93" s="110">
        <f t="shared" si="281"/>
        <v>0</v>
      </c>
      <c r="CK93" s="110">
        <f t="shared" si="281"/>
        <v>0</v>
      </c>
      <c r="CL93" s="126">
        <f t="shared" si="16"/>
        <v>0</v>
      </c>
      <c r="CM93" s="127">
        <v>3684.0</v>
      </c>
      <c r="CN93" s="128" t="e">
        <v>#N/A</v>
      </c>
      <c r="CO93" s="129" t="str">
        <f t="shared" si="17"/>
        <v>#N/A</v>
      </c>
      <c r="CP93" s="130">
        <v>0.0</v>
      </c>
      <c r="CQ93" s="131">
        <v>0.0</v>
      </c>
      <c r="CR93" s="132">
        <f t="shared" si="18"/>
        <v>0</v>
      </c>
      <c r="CS93" s="45" t="e">
        <v>#N/A</v>
      </c>
      <c r="CU93" s="8" t="s">
        <v>3</v>
      </c>
    </row>
    <row r="94" ht="13.5" customHeight="1" outlineLevel="1">
      <c r="B94" s="134">
        <v>0.0</v>
      </c>
      <c r="C94" s="88">
        <f t="shared" si="5"/>
        <v>87</v>
      </c>
      <c r="D94" s="87"/>
      <c r="E94" s="89"/>
      <c r="F94" s="89"/>
      <c r="G94" s="90"/>
      <c r="H94" s="157"/>
      <c r="I94" s="92"/>
      <c r="J94" s="93"/>
      <c r="K94" s="43">
        <f t="shared" si="6"/>
        <v>0</v>
      </c>
      <c r="L94" s="92">
        <v>1.0</v>
      </c>
      <c r="M94" s="157"/>
      <c r="N94" s="94" t="str">
        <f t="shared" si="7"/>
        <v> | </v>
      </c>
      <c r="O94" s="94"/>
      <c r="P94" s="95"/>
      <c r="Q94" s="95"/>
      <c r="R94" s="154">
        <f t="shared" si="112"/>
        <v>0</v>
      </c>
      <c r="S94" s="95">
        <v>0.0</v>
      </c>
      <c r="T94" s="96">
        <f t="shared" si="8"/>
        <v>0</v>
      </c>
      <c r="U94" s="97"/>
      <c r="V94" s="98" t="s">
        <v>109</v>
      </c>
      <c r="W94" s="99"/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  <c r="AH94" s="101"/>
      <c r="AI94" s="102">
        <f t="shared" ref="AI94:AT94" si="282">+ W94 * ( 1 + $AJ$3 )</f>
        <v>0</v>
      </c>
      <c r="AJ94" s="102">
        <f t="shared" si="282"/>
        <v>0</v>
      </c>
      <c r="AK94" s="102">
        <f t="shared" si="282"/>
        <v>0</v>
      </c>
      <c r="AL94" s="102">
        <f t="shared" si="282"/>
        <v>0</v>
      </c>
      <c r="AM94" s="102">
        <f t="shared" si="282"/>
        <v>0</v>
      </c>
      <c r="AN94" s="102">
        <f t="shared" si="282"/>
        <v>0</v>
      </c>
      <c r="AO94" s="102">
        <f t="shared" si="282"/>
        <v>0</v>
      </c>
      <c r="AP94" s="102">
        <f t="shared" si="282"/>
        <v>0</v>
      </c>
      <c r="AQ94" s="102">
        <f t="shared" si="282"/>
        <v>0</v>
      </c>
      <c r="AR94" s="102">
        <f t="shared" si="282"/>
        <v>0</v>
      </c>
      <c r="AS94" s="102">
        <f t="shared" si="282"/>
        <v>0</v>
      </c>
      <c r="AT94" s="102">
        <f t="shared" si="282"/>
        <v>0</v>
      </c>
      <c r="AU94" s="104">
        <v>0.0</v>
      </c>
      <c r="AV94" s="105"/>
      <c r="AW94" s="106" t="str">
        <f t="shared" si="10"/>
        <v>n.a.</v>
      </c>
      <c r="AX94" s="90" t="s">
        <v>110</v>
      </c>
      <c r="AY94" s="107">
        <v>0.0</v>
      </c>
      <c r="AZ94" s="108">
        <f t="shared" si="11"/>
        <v>0</v>
      </c>
      <c r="BA94" s="109" t="str">
        <f t="shared" si="12"/>
        <v>n.a.</v>
      </c>
      <c r="BB94" s="110">
        <f t="shared" ref="BB94:BF94" si="283">+IFERROR( $AZ94 * CB94, 0 )</f>
        <v>0</v>
      </c>
      <c r="BC94" s="110">
        <f t="shared" si="283"/>
        <v>0</v>
      </c>
      <c r="BD94" s="110">
        <f t="shared" si="283"/>
        <v>0</v>
      </c>
      <c r="BE94" s="110">
        <f t="shared" si="283"/>
        <v>0</v>
      </c>
      <c r="BF94" s="111">
        <f t="shared" si="283"/>
        <v>0</v>
      </c>
      <c r="BG94" s="112"/>
      <c r="BH94" s="113"/>
      <c r="BI94" s="114" t="s">
        <v>27</v>
      </c>
      <c r="BJ94" s="115">
        <v>15.0</v>
      </c>
      <c r="BK94" s="116" t="s">
        <v>111</v>
      </c>
      <c r="BL94" s="117">
        <v>0.04</v>
      </c>
      <c r="BM94" s="118"/>
      <c r="BN94" s="119"/>
      <c r="BO94" s="120">
        <v>0.0</v>
      </c>
      <c r="BP94" s="28">
        <v>0.04</v>
      </c>
      <c r="BQ94" s="43">
        <f t="shared" si="14"/>
        <v>0</v>
      </c>
      <c r="BR94" s="121"/>
      <c r="BS94" s="122"/>
      <c r="BT94" s="20">
        <v>0.0</v>
      </c>
      <c r="BU94" s="20">
        <v>0.0</v>
      </c>
      <c r="BV94" s="20">
        <v>0.0</v>
      </c>
      <c r="BW94" s="20">
        <v>0.0</v>
      </c>
      <c r="BX94" s="155">
        <v>0.0</v>
      </c>
      <c r="BY94" s="156">
        <f t="shared" si="139"/>
        <v>0</v>
      </c>
      <c r="BZ94" s="124">
        <v>0.0</v>
      </c>
      <c r="CA94" s="45">
        <v>5479.0</v>
      </c>
      <c r="CB94" s="125">
        <v>0.7</v>
      </c>
      <c r="CC94" s="125">
        <v>0.2</v>
      </c>
      <c r="CD94" s="125" t="s">
        <v>112</v>
      </c>
      <c r="CE94" s="125" t="s">
        <v>112</v>
      </c>
      <c r="CF94" s="125">
        <v>0.1</v>
      </c>
      <c r="CG94" s="110">
        <f t="shared" ref="CG94:CK94" si="284">+IFERROR( $AV94 * CB94, 0 )</f>
        <v>0</v>
      </c>
      <c r="CH94" s="110">
        <f t="shared" si="284"/>
        <v>0</v>
      </c>
      <c r="CI94" s="110">
        <f t="shared" si="284"/>
        <v>0</v>
      </c>
      <c r="CJ94" s="110">
        <f t="shared" si="284"/>
        <v>0</v>
      </c>
      <c r="CK94" s="110">
        <f t="shared" si="284"/>
        <v>0</v>
      </c>
      <c r="CL94" s="126">
        <f t="shared" si="16"/>
        <v>0</v>
      </c>
      <c r="CM94" s="127">
        <v>3684.0</v>
      </c>
      <c r="CN94" s="128" t="e">
        <v>#N/A</v>
      </c>
      <c r="CO94" s="129" t="str">
        <f t="shared" si="17"/>
        <v>#N/A</v>
      </c>
      <c r="CP94" s="130">
        <v>0.0</v>
      </c>
      <c r="CQ94" s="131">
        <v>0.0</v>
      </c>
      <c r="CR94" s="132">
        <f t="shared" si="18"/>
        <v>0</v>
      </c>
      <c r="CS94" s="45" t="e">
        <v>#N/A</v>
      </c>
      <c r="CU94" s="8" t="s">
        <v>3</v>
      </c>
    </row>
    <row r="95" ht="13.5" customHeight="1" outlineLevel="1">
      <c r="B95" s="134">
        <v>0.0</v>
      </c>
      <c r="C95" s="88">
        <f t="shared" si="5"/>
        <v>88</v>
      </c>
      <c r="D95" s="87"/>
      <c r="E95" s="89"/>
      <c r="F95" s="89"/>
      <c r="G95" s="90"/>
      <c r="H95" s="157"/>
      <c r="I95" s="92"/>
      <c r="J95" s="93"/>
      <c r="K95" s="43">
        <f t="shared" si="6"/>
        <v>0</v>
      </c>
      <c r="L95" s="92">
        <v>1.0</v>
      </c>
      <c r="M95" s="157"/>
      <c r="N95" s="94" t="str">
        <f t="shared" si="7"/>
        <v> | </v>
      </c>
      <c r="O95" s="94"/>
      <c r="P95" s="95"/>
      <c r="Q95" s="95"/>
      <c r="R95" s="154">
        <f t="shared" si="112"/>
        <v>0</v>
      </c>
      <c r="S95" s="95">
        <v>0.0</v>
      </c>
      <c r="T95" s="96">
        <f t="shared" si="8"/>
        <v>0</v>
      </c>
      <c r="U95" s="97"/>
      <c r="V95" s="98" t="s">
        <v>109</v>
      </c>
      <c r="W95" s="99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1"/>
      <c r="AI95" s="102">
        <f t="shared" ref="AI95:AT95" si="285">+ W95 * ( 1 + $AJ$3 )</f>
        <v>0</v>
      </c>
      <c r="AJ95" s="102">
        <f t="shared" si="285"/>
        <v>0</v>
      </c>
      <c r="AK95" s="102">
        <f t="shared" si="285"/>
        <v>0</v>
      </c>
      <c r="AL95" s="102">
        <f t="shared" si="285"/>
        <v>0</v>
      </c>
      <c r="AM95" s="102">
        <f t="shared" si="285"/>
        <v>0</v>
      </c>
      <c r="AN95" s="102">
        <f t="shared" si="285"/>
        <v>0</v>
      </c>
      <c r="AO95" s="102">
        <f t="shared" si="285"/>
        <v>0</v>
      </c>
      <c r="AP95" s="102">
        <f t="shared" si="285"/>
        <v>0</v>
      </c>
      <c r="AQ95" s="102">
        <f t="shared" si="285"/>
        <v>0</v>
      </c>
      <c r="AR95" s="102">
        <f t="shared" si="285"/>
        <v>0</v>
      </c>
      <c r="AS95" s="102">
        <f t="shared" si="285"/>
        <v>0</v>
      </c>
      <c r="AT95" s="102">
        <f t="shared" si="285"/>
        <v>0</v>
      </c>
      <c r="AU95" s="104">
        <v>0.0</v>
      </c>
      <c r="AV95" s="105"/>
      <c r="AW95" s="106" t="str">
        <f t="shared" si="10"/>
        <v>n.a.</v>
      </c>
      <c r="AX95" s="90" t="s">
        <v>110</v>
      </c>
      <c r="AY95" s="107">
        <v>0.0</v>
      </c>
      <c r="AZ95" s="108">
        <f t="shared" si="11"/>
        <v>0</v>
      </c>
      <c r="BA95" s="109" t="str">
        <f t="shared" si="12"/>
        <v>n.a.</v>
      </c>
      <c r="BB95" s="110">
        <f t="shared" ref="BB95:BF95" si="286">+IFERROR( $AZ95 * CB95, 0 )</f>
        <v>0</v>
      </c>
      <c r="BC95" s="110">
        <f t="shared" si="286"/>
        <v>0</v>
      </c>
      <c r="BD95" s="110">
        <f t="shared" si="286"/>
        <v>0</v>
      </c>
      <c r="BE95" s="110">
        <f t="shared" si="286"/>
        <v>0</v>
      </c>
      <c r="BF95" s="111">
        <f t="shared" si="286"/>
        <v>0</v>
      </c>
      <c r="BG95" s="112"/>
      <c r="BH95" s="113"/>
      <c r="BI95" s="114" t="s">
        <v>27</v>
      </c>
      <c r="BJ95" s="115">
        <v>15.0</v>
      </c>
      <c r="BK95" s="116" t="s">
        <v>111</v>
      </c>
      <c r="BL95" s="117">
        <v>0.04</v>
      </c>
      <c r="BM95" s="118"/>
      <c r="BN95" s="119"/>
      <c r="BO95" s="120">
        <v>0.0</v>
      </c>
      <c r="BP95" s="28">
        <v>0.04</v>
      </c>
      <c r="BQ95" s="43">
        <f t="shared" si="14"/>
        <v>0</v>
      </c>
      <c r="BR95" s="121"/>
      <c r="BS95" s="122"/>
      <c r="BT95" s="20">
        <v>0.0</v>
      </c>
      <c r="BU95" s="20">
        <v>0.0</v>
      </c>
      <c r="BV95" s="20">
        <v>0.0</v>
      </c>
      <c r="BW95" s="20">
        <v>0.0</v>
      </c>
      <c r="BX95" s="155">
        <v>0.0</v>
      </c>
      <c r="BY95" s="156">
        <f t="shared" si="139"/>
        <v>0</v>
      </c>
      <c r="BZ95" s="124">
        <v>0.0</v>
      </c>
      <c r="CA95" s="45">
        <v>5479.0</v>
      </c>
      <c r="CB95" s="125">
        <v>0.7</v>
      </c>
      <c r="CC95" s="125">
        <v>0.2</v>
      </c>
      <c r="CD95" s="125" t="s">
        <v>112</v>
      </c>
      <c r="CE95" s="125" t="s">
        <v>112</v>
      </c>
      <c r="CF95" s="125">
        <v>0.1</v>
      </c>
      <c r="CG95" s="110">
        <f t="shared" ref="CG95:CK95" si="287">+IFERROR( $AV95 * CB95, 0 )</f>
        <v>0</v>
      </c>
      <c r="CH95" s="110">
        <f t="shared" si="287"/>
        <v>0</v>
      </c>
      <c r="CI95" s="110">
        <f t="shared" si="287"/>
        <v>0</v>
      </c>
      <c r="CJ95" s="110">
        <f t="shared" si="287"/>
        <v>0</v>
      </c>
      <c r="CK95" s="110">
        <f t="shared" si="287"/>
        <v>0</v>
      </c>
      <c r="CL95" s="126">
        <f t="shared" si="16"/>
        <v>0</v>
      </c>
      <c r="CM95" s="127">
        <v>3684.0</v>
      </c>
      <c r="CN95" s="128" t="e">
        <v>#N/A</v>
      </c>
      <c r="CO95" s="129" t="str">
        <f t="shared" si="17"/>
        <v>#N/A</v>
      </c>
      <c r="CP95" s="130">
        <v>0.0</v>
      </c>
      <c r="CQ95" s="131">
        <v>0.0</v>
      </c>
      <c r="CR95" s="132">
        <f t="shared" si="18"/>
        <v>0</v>
      </c>
      <c r="CS95" s="45" t="e">
        <v>#N/A</v>
      </c>
      <c r="CU95" s="8" t="s">
        <v>3</v>
      </c>
    </row>
    <row r="96" ht="13.5" customHeight="1" outlineLevel="1">
      <c r="B96" s="134">
        <v>0.0</v>
      </c>
      <c r="C96" s="88">
        <f t="shared" si="5"/>
        <v>89</v>
      </c>
      <c r="D96" s="87"/>
      <c r="E96" s="89"/>
      <c r="F96" s="89"/>
      <c r="G96" s="90"/>
      <c r="H96" s="157"/>
      <c r="I96" s="92"/>
      <c r="J96" s="93"/>
      <c r="K96" s="43">
        <f t="shared" si="6"/>
        <v>0</v>
      </c>
      <c r="L96" s="92">
        <v>1.0</v>
      </c>
      <c r="M96" s="157"/>
      <c r="N96" s="94" t="str">
        <f t="shared" si="7"/>
        <v> | </v>
      </c>
      <c r="O96" s="94"/>
      <c r="P96" s="95"/>
      <c r="Q96" s="95"/>
      <c r="R96" s="154">
        <f t="shared" si="112"/>
        <v>0</v>
      </c>
      <c r="S96" s="95">
        <v>0.0</v>
      </c>
      <c r="T96" s="96">
        <f t="shared" si="8"/>
        <v>0</v>
      </c>
      <c r="U96" s="97"/>
      <c r="V96" s="98" t="s">
        <v>109</v>
      </c>
      <c r="W96" s="99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1"/>
      <c r="AI96" s="102">
        <f t="shared" ref="AI96:AT96" si="288">+ W96 * ( 1 + $AJ$3 )</f>
        <v>0</v>
      </c>
      <c r="AJ96" s="102">
        <f t="shared" si="288"/>
        <v>0</v>
      </c>
      <c r="AK96" s="102">
        <f t="shared" si="288"/>
        <v>0</v>
      </c>
      <c r="AL96" s="102">
        <f t="shared" si="288"/>
        <v>0</v>
      </c>
      <c r="AM96" s="102">
        <f t="shared" si="288"/>
        <v>0</v>
      </c>
      <c r="AN96" s="102">
        <f t="shared" si="288"/>
        <v>0</v>
      </c>
      <c r="AO96" s="102">
        <f t="shared" si="288"/>
        <v>0</v>
      </c>
      <c r="AP96" s="102">
        <f t="shared" si="288"/>
        <v>0</v>
      </c>
      <c r="AQ96" s="102">
        <f t="shared" si="288"/>
        <v>0</v>
      </c>
      <c r="AR96" s="102">
        <f t="shared" si="288"/>
        <v>0</v>
      </c>
      <c r="AS96" s="102">
        <f t="shared" si="288"/>
        <v>0</v>
      </c>
      <c r="AT96" s="102">
        <f t="shared" si="288"/>
        <v>0</v>
      </c>
      <c r="AU96" s="104">
        <v>0.0</v>
      </c>
      <c r="AV96" s="105"/>
      <c r="AW96" s="106" t="str">
        <f t="shared" si="10"/>
        <v>n.a.</v>
      </c>
      <c r="AX96" s="90" t="s">
        <v>110</v>
      </c>
      <c r="AY96" s="107">
        <v>0.0</v>
      </c>
      <c r="AZ96" s="108">
        <f t="shared" si="11"/>
        <v>0</v>
      </c>
      <c r="BA96" s="109" t="str">
        <f t="shared" si="12"/>
        <v>n.a.</v>
      </c>
      <c r="BB96" s="110">
        <f t="shared" ref="BB96:BF96" si="289">+IFERROR( $AZ96 * CB96, 0 )</f>
        <v>0</v>
      </c>
      <c r="BC96" s="110">
        <f t="shared" si="289"/>
        <v>0</v>
      </c>
      <c r="BD96" s="110">
        <f t="shared" si="289"/>
        <v>0</v>
      </c>
      <c r="BE96" s="110">
        <f t="shared" si="289"/>
        <v>0</v>
      </c>
      <c r="BF96" s="111">
        <f t="shared" si="289"/>
        <v>0</v>
      </c>
      <c r="BG96" s="112"/>
      <c r="BH96" s="113"/>
      <c r="BI96" s="114" t="s">
        <v>27</v>
      </c>
      <c r="BJ96" s="115">
        <v>15.0</v>
      </c>
      <c r="BK96" s="116" t="s">
        <v>111</v>
      </c>
      <c r="BL96" s="117">
        <v>0.04</v>
      </c>
      <c r="BM96" s="118"/>
      <c r="BN96" s="119"/>
      <c r="BO96" s="120">
        <v>0.0</v>
      </c>
      <c r="BP96" s="28">
        <v>0.04</v>
      </c>
      <c r="BQ96" s="43">
        <f t="shared" si="14"/>
        <v>0</v>
      </c>
      <c r="BR96" s="121"/>
      <c r="BS96" s="122"/>
      <c r="BT96" s="20">
        <v>0.0</v>
      </c>
      <c r="BU96" s="20">
        <v>0.0</v>
      </c>
      <c r="BV96" s="20">
        <v>0.0</v>
      </c>
      <c r="BW96" s="20">
        <v>0.0</v>
      </c>
      <c r="BX96" s="155">
        <v>0.0</v>
      </c>
      <c r="BY96" s="156">
        <f t="shared" si="139"/>
        <v>0</v>
      </c>
      <c r="BZ96" s="124">
        <v>0.0</v>
      </c>
      <c r="CA96" s="45">
        <v>5479.0</v>
      </c>
      <c r="CB96" s="125">
        <v>0.7</v>
      </c>
      <c r="CC96" s="125">
        <v>0.2</v>
      </c>
      <c r="CD96" s="125" t="s">
        <v>112</v>
      </c>
      <c r="CE96" s="125" t="s">
        <v>112</v>
      </c>
      <c r="CF96" s="125">
        <v>0.1</v>
      </c>
      <c r="CG96" s="110">
        <f t="shared" ref="CG96:CK96" si="290">+IFERROR( $AV96 * CB96, 0 )</f>
        <v>0</v>
      </c>
      <c r="CH96" s="110">
        <f t="shared" si="290"/>
        <v>0</v>
      </c>
      <c r="CI96" s="110">
        <f t="shared" si="290"/>
        <v>0</v>
      </c>
      <c r="CJ96" s="110">
        <f t="shared" si="290"/>
        <v>0</v>
      </c>
      <c r="CK96" s="110">
        <f t="shared" si="290"/>
        <v>0</v>
      </c>
      <c r="CL96" s="126">
        <f t="shared" si="16"/>
        <v>0</v>
      </c>
      <c r="CM96" s="127">
        <v>3684.0</v>
      </c>
      <c r="CN96" s="128" t="e">
        <v>#N/A</v>
      </c>
      <c r="CO96" s="129" t="str">
        <f t="shared" si="17"/>
        <v>#N/A</v>
      </c>
      <c r="CP96" s="130">
        <v>0.0</v>
      </c>
      <c r="CQ96" s="131">
        <v>0.0</v>
      </c>
      <c r="CR96" s="132">
        <f t="shared" si="18"/>
        <v>0</v>
      </c>
      <c r="CS96" s="45" t="e">
        <v>#N/A</v>
      </c>
      <c r="CU96" s="8" t="s">
        <v>3</v>
      </c>
    </row>
    <row r="97" ht="13.5" customHeight="1" outlineLevel="1">
      <c r="B97" s="134">
        <v>0.0</v>
      </c>
      <c r="C97" s="88">
        <f t="shared" si="5"/>
        <v>90</v>
      </c>
      <c r="D97" s="87"/>
      <c r="E97" s="89"/>
      <c r="F97" s="89"/>
      <c r="G97" s="90"/>
      <c r="H97" s="157"/>
      <c r="I97" s="92"/>
      <c r="J97" s="93"/>
      <c r="K97" s="43">
        <f t="shared" si="6"/>
        <v>0</v>
      </c>
      <c r="L97" s="92">
        <v>1.0</v>
      </c>
      <c r="M97" s="157"/>
      <c r="N97" s="94" t="str">
        <f t="shared" si="7"/>
        <v> | </v>
      </c>
      <c r="O97" s="94"/>
      <c r="P97" s="95"/>
      <c r="Q97" s="95"/>
      <c r="R97" s="154">
        <f t="shared" si="112"/>
        <v>0</v>
      </c>
      <c r="S97" s="95">
        <v>0.0</v>
      </c>
      <c r="T97" s="96">
        <f t="shared" si="8"/>
        <v>0</v>
      </c>
      <c r="U97" s="97"/>
      <c r="V97" s="98" t="s">
        <v>109</v>
      </c>
      <c r="W97" s="99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1"/>
      <c r="AI97" s="102">
        <f t="shared" ref="AI97:AT97" si="291">+ W97 * ( 1 + $AJ$3 )</f>
        <v>0</v>
      </c>
      <c r="AJ97" s="102">
        <f t="shared" si="291"/>
        <v>0</v>
      </c>
      <c r="AK97" s="102">
        <f t="shared" si="291"/>
        <v>0</v>
      </c>
      <c r="AL97" s="102">
        <f t="shared" si="291"/>
        <v>0</v>
      </c>
      <c r="AM97" s="102">
        <f t="shared" si="291"/>
        <v>0</v>
      </c>
      <c r="AN97" s="102">
        <f t="shared" si="291"/>
        <v>0</v>
      </c>
      <c r="AO97" s="102">
        <f t="shared" si="291"/>
        <v>0</v>
      </c>
      <c r="AP97" s="102">
        <f t="shared" si="291"/>
        <v>0</v>
      </c>
      <c r="AQ97" s="102">
        <f t="shared" si="291"/>
        <v>0</v>
      </c>
      <c r="AR97" s="102">
        <f t="shared" si="291"/>
        <v>0</v>
      </c>
      <c r="AS97" s="102">
        <f t="shared" si="291"/>
        <v>0</v>
      </c>
      <c r="AT97" s="102">
        <f t="shared" si="291"/>
        <v>0</v>
      </c>
      <c r="AU97" s="104">
        <v>0.0</v>
      </c>
      <c r="AV97" s="105"/>
      <c r="AW97" s="106" t="str">
        <f t="shared" si="10"/>
        <v>n.a.</v>
      </c>
      <c r="AX97" s="90" t="s">
        <v>110</v>
      </c>
      <c r="AY97" s="107">
        <v>0.0</v>
      </c>
      <c r="AZ97" s="108">
        <f t="shared" si="11"/>
        <v>0</v>
      </c>
      <c r="BA97" s="109" t="str">
        <f t="shared" si="12"/>
        <v>n.a.</v>
      </c>
      <c r="BB97" s="110">
        <f t="shared" ref="BB97:BF97" si="292">+IFERROR( $AZ97 * CB97, 0 )</f>
        <v>0</v>
      </c>
      <c r="BC97" s="110">
        <f t="shared" si="292"/>
        <v>0</v>
      </c>
      <c r="BD97" s="110">
        <f t="shared" si="292"/>
        <v>0</v>
      </c>
      <c r="BE97" s="110">
        <f t="shared" si="292"/>
        <v>0</v>
      </c>
      <c r="BF97" s="111">
        <f t="shared" si="292"/>
        <v>0</v>
      </c>
      <c r="BG97" s="112"/>
      <c r="BH97" s="113"/>
      <c r="BI97" s="114" t="s">
        <v>27</v>
      </c>
      <c r="BJ97" s="115">
        <v>15.0</v>
      </c>
      <c r="BK97" s="116" t="s">
        <v>111</v>
      </c>
      <c r="BL97" s="117">
        <v>0.04</v>
      </c>
      <c r="BM97" s="118"/>
      <c r="BN97" s="119"/>
      <c r="BO97" s="120">
        <v>0.0</v>
      </c>
      <c r="BP97" s="28">
        <v>0.04</v>
      </c>
      <c r="BQ97" s="43">
        <f t="shared" si="14"/>
        <v>0</v>
      </c>
      <c r="BR97" s="121"/>
      <c r="BS97" s="122"/>
      <c r="BT97" s="20">
        <v>0.0</v>
      </c>
      <c r="BU97" s="20">
        <v>0.0</v>
      </c>
      <c r="BV97" s="20">
        <v>0.0</v>
      </c>
      <c r="BW97" s="20">
        <v>0.0</v>
      </c>
      <c r="BX97" s="155">
        <v>0.0</v>
      </c>
      <c r="BY97" s="156">
        <f t="shared" si="139"/>
        <v>0</v>
      </c>
      <c r="BZ97" s="124">
        <v>0.0</v>
      </c>
      <c r="CA97" s="45">
        <v>5479.0</v>
      </c>
      <c r="CB97" s="125">
        <v>0.7</v>
      </c>
      <c r="CC97" s="125">
        <v>0.2</v>
      </c>
      <c r="CD97" s="125" t="s">
        <v>112</v>
      </c>
      <c r="CE97" s="125" t="s">
        <v>112</v>
      </c>
      <c r="CF97" s="125">
        <v>0.1</v>
      </c>
      <c r="CG97" s="110">
        <f t="shared" ref="CG97:CK97" si="293">+IFERROR( $AV97 * CB97, 0 )</f>
        <v>0</v>
      </c>
      <c r="CH97" s="110">
        <f t="shared" si="293"/>
        <v>0</v>
      </c>
      <c r="CI97" s="110">
        <f t="shared" si="293"/>
        <v>0</v>
      </c>
      <c r="CJ97" s="110">
        <f t="shared" si="293"/>
        <v>0</v>
      </c>
      <c r="CK97" s="110">
        <f t="shared" si="293"/>
        <v>0</v>
      </c>
      <c r="CL97" s="126">
        <f t="shared" si="16"/>
        <v>0</v>
      </c>
      <c r="CM97" s="127">
        <v>3684.0</v>
      </c>
      <c r="CN97" s="128" t="e">
        <v>#N/A</v>
      </c>
      <c r="CO97" s="129" t="str">
        <f t="shared" si="17"/>
        <v>#N/A</v>
      </c>
      <c r="CP97" s="130">
        <v>0.0</v>
      </c>
      <c r="CQ97" s="131">
        <v>0.0</v>
      </c>
      <c r="CR97" s="132">
        <f t="shared" si="18"/>
        <v>0</v>
      </c>
      <c r="CS97" s="45" t="e">
        <v>#N/A</v>
      </c>
      <c r="CU97" s="8" t="s">
        <v>3</v>
      </c>
    </row>
    <row r="98" ht="13.5" customHeight="1" outlineLevel="1">
      <c r="B98" s="134">
        <v>0.0</v>
      </c>
      <c r="C98" s="88">
        <f t="shared" si="5"/>
        <v>91</v>
      </c>
      <c r="D98" s="87"/>
      <c r="E98" s="89"/>
      <c r="F98" s="89"/>
      <c r="G98" s="90"/>
      <c r="H98" s="157"/>
      <c r="I98" s="92"/>
      <c r="J98" s="93"/>
      <c r="K98" s="43">
        <f t="shared" si="6"/>
        <v>0</v>
      </c>
      <c r="L98" s="92">
        <v>1.0</v>
      </c>
      <c r="M98" s="157"/>
      <c r="N98" s="94" t="str">
        <f t="shared" si="7"/>
        <v> | </v>
      </c>
      <c r="O98" s="94"/>
      <c r="P98" s="95"/>
      <c r="Q98" s="95"/>
      <c r="R98" s="154">
        <f t="shared" si="112"/>
        <v>0</v>
      </c>
      <c r="S98" s="95">
        <v>0.0</v>
      </c>
      <c r="T98" s="96">
        <f t="shared" si="8"/>
        <v>0</v>
      </c>
      <c r="U98" s="97"/>
      <c r="V98" s="98" t="s">
        <v>109</v>
      </c>
      <c r="W98" s="99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1"/>
      <c r="AI98" s="102">
        <f t="shared" ref="AI98:AT98" si="294">+ W98 * ( 1 + $AJ$3 )</f>
        <v>0</v>
      </c>
      <c r="AJ98" s="102">
        <f t="shared" si="294"/>
        <v>0</v>
      </c>
      <c r="AK98" s="102">
        <f t="shared" si="294"/>
        <v>0</v>
      </c>
      <c r="AL98" s="102">
        <f t="shared" si="294"/>
        <v>0</v>
      </c>
      <c r="AM98" s="102">
        <f t="shared" si="294"/>
        <v>0</v>
      </c>
      <c r="AN98" s="102">
        <f t="shared" si="294"/>
        <v>0</v>
      </c>
      <c r="AO98" s="102">
        <f t="shared" si="294"/>
        <v>0</v>
      </c>
      <c r="AP98" s="102">
        <f t="shared" si="294"/>
        <v>0</v>
      </c>
      <c r="AQ98" s="102">
        <f t="shared" si="294"/>
        <v>0</v>
      </c>
      <c r="AR98" s="102">
        <f t="shared" si="294"/>
        <v>0</v>
      </c>
      <c r="AS98" s="102">
        <f t="shared" si="294"/>
        <v>0</v>
      </c>
      <c r="AT98" s="102">
        <f t="shared" si="294"/>
        <v>0</v>
      </c>
      <c r="AU98" s="104">
        <v>0.0</v>
      </c>
      <c r="AV98" s="105"/>
      <c r="AW98" s="106" t="str">
        <f t="shared" si="10"/>
        <v>n.a.</v>
      </c>
      <c r="AX98" s="90" t="s">
        <v>110</v>
      </c>
      <c r="AY98" s="107">
        <v>0.0</v>
      </c>
      <c r="AZ98" s="108">
        <f t="shared" si="11"/>
        <v>0</v>
      </c>
      <c r="BA98" s="109" t="str">
        <f t="shared" si="12"/>
        <v>n.a.</v>
      </c>
      <c r="BB98" s="110">
        <f t="shared" ref="BB98:BF98" si="295">+IFERROR( $AZ98 * CB98, 0 )</f>
        <v>0</v>
      </c>
      <c r="BC98" s="110">
        <f t="shared" si="295"/>
        <v>0</v>
      </c>
      <c r="BD98" s="110">
        <f t="shared" si="295"/>
        <v>0</v>
      </c>
      <c r="BE98" s="110">
        <f t="shared" si="295"/>
        <v>0</v>
      </c>
      <c r="BF98" s="111">
        <f t="shared" si="295"/>
        <v>0</v>
      </c>
      <c r="BG98" s="112"/>
      <c r="BH98" s="113"/>
      <c r="BI98" s="114" t="s">
        <v>27</v>
      </c>
      <c r="BJ98" s="115">
        <v>15.0</v>
      </c>
      <c r="BK98" s="116" t="s">
        <v>111</v>
      </c>
      <c r="BL98" s="117">
        <v>0.04</v>
      </c>
      <c r="BM98" s="118"/>
      <c r="BN98" s="119"/>
      <c r="BO98" s="120">
        <v>0.0</v>
      </c>
      <c r="BP98" s="28">
        <v>0.04</v>
      </c>
      <c r="BQ98" s="43">
        <f t="shared" si="14"/>
        <v>0</v>
      </c>
      <c r="BR98" s="121"/>
      <c r="BS98" s="122"/>
      <c r="BT98" s="20">
        <v>0.0</v>
      </c>
      <c r="BU98" s="20">
        <v>0.0</v>
      </c>
      <c r="BV98" s="20">
        <v>0.0</v>
      </c>
      <c r="BW98" s="20">
        <v>0.0</v>
      </c>
      <c r="BX98" s="155">
        <v>0.0</v>
      </c>
      <c r="BY98" s="156">
        <f t="shared" si="139"/>
        <v>0</v>
      </c>
      <c r="BZ98" s="124">
        <v>0.0</v>
      </c>
      <c r="CA98" s="45">
        <v>5479.0</v>
      </c>
      <c r="CB98" s="125">
        <v>0.7</v>
      </c>
      <c r="CC98" s="125">
        <v>0.2</v>
      </c>
      <c r="CD98" s="125" t="s">
        <v>112</v>
      </c>
      <c r="CE98" s="125" t="s">
        <v>112</v>
      </c>
      <c r="CF98" s="125">
        <v>0.1</v>
      </c>
      <c r="CG98" s="110">
        <f t="shared" ref="CG98:CK98" si="296">+IFERROR( $AV98 * CB98, 0 )</f>
        <v>0</v>
      </c>
      <c r="CH98" s="110">
        <f t="shared" si="296"/>
        <v>0</v>
      </c>
      <c r="CI98" s="110">
        <f t="shared" si="296"/>
        <v>0</v>
      </c>
      <c r="CJ98" s="110">
        <f t="shared" si="296"/>
        <v>0</v>
      </c>
      <c r="CK98" s="110">
        <f t="shared" si="296"/>
        <v>0</v>
      </c>
      <c r="CL98" s="126">
        <f t="shared" si="16"/>
        <v>0</v>
      </c>
      <c r="CM98" s="127">
        <v>3684.0</v>
      </c>
      <c r="CN98" s="128" t="e">
        <v>#N/A</v>
      </c>
      <c r="CO98" s="129" t="str">
        <f t="shared" si="17"/>
        <v>#N/A</v>
      </c>
      <c r="CP98" s="130">
        <v>0.0</v>
      </c>
      <c r="CQ98" s="131">
        <v>0.0</v>
      </c>
      <c r="CR98" s="132">
        <f t="shared" si="18"/>
        <v>0</v>
      </c>
      <c r="CS98" s="45" t="e">
        <v>#N/A</v>
      </c>
      <c r="CU98" s="8" t="s">
        <v>3</v>
      </c>
    </row>
    <row r="99" ht="13.5" customHeight="1" outlineLevel="1">
      <c r="B99" s="134">
        <v>0.0</v>
      </c>
      <c r="C99" s="88">
        <f t="shared" si="5"/>
        <v>92</v>
      </c>
      <c r="D99" s="87"/>
      <c r="E99" s="89"/>
      <c r="F99" s="89"/>
      <c r="G99" s="90"/>
      <c r="H99" s="157"/>
      <c r="I99" s="92"/>
      <c r="J99" s="93"/>
      <c r="K99" s="43">
        <f t="shared" si="6"/>
        <v>0</v>
      </c>
      <c r="L99" s="92">
        <v>1.0</v>
      </c>
      <c r="M99" s="157"/>
      <c r="N99" s="94" t="str">
        <f t="shared" si="7"/>
        <v> | </v>
      </c>
      <c r="O99" s="94"/>
      <c r="P99" s="95"/>
      <c r="Q99" s="95"/>
      <c r="R99" s="154">
        <f t="shared" si="112"/>
        <v>0</v>
      </c>
      <c r="S99" s="95">
        <v>0.0</v>
      </c>
      <c r="T99" s="96">
        <f t="shared" si="8"/>
        <v>0</v>
      </c>
      <c r="U99" s="97"/>
      <c r="V99" s="98" t="s">
        <v>109</v>
      </c>
      <c r="W99" s="99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1"/>
      <c r="AI99" s="102">
        <f t="shared" ref="AI99:AT99" si="297">+ W99 * ( 1 + $AJ$3 )</f>
        <v>0</v>
      </c>
      <c r="AJ99" s="102">
        <f t="shared" si="297"/>
        <v>0</v>
      </c>
      <c r="AK99" s="102">
        <f t="shared" si="297"/>
        <v>0</v>
      </c>
      <c r="AL99" s="102">
        <f t="shared" si="297"/>
        <v>0</v>
      </c>
      <c r="AM99" s="102">
        <f t="shared" si="297"/>
        <v>0</v>
      </c>
      <c r="AN99" s="102">
        <f t="shared" si="297"/>
        <v>0</v>
      </c>
      <c r="AO99" s="102">
        <f t="shared" si="297"/>
        <v>0</v>
      </c>
      <c r="AP99" s="102">
        <f t="shared" si="297"/>
        <v>0</v>
      </c>
      <c r="AQ99" s="102">
        <f t="shared" si="297"/>
        <v>0</v>
      </c>
      <c r="AR99" s="102">
        <f t="shared" si="297"/>
        <v>0</v>
      </c>
      <c r="AS99" s="102">
        <f t="shared" si="297"/>
        <v>0</v>
      </c>
      <c r="AT99" s="102">
        <f t="shared" si="297"/>
        <v>0</v>
      </c>
      <c r="AU99" s="104">
        <v>0.0</v>
      </c>
      <c r="AV99" s="105"/>
      <c r="AW99" s="106" t="str">
        <f t="shared" si="10"/>
        <v>n.a.</v>
      </c>
      <c r="AX99" s="90" t="s">
        <v>110</v>
      </c>
      <c r="AY99" s="107">
        <v>0.0</v>
      </c>
      <c r="AZ99" s="108">
        <f t="shared" si="11"/>
        <v>0</v>
      </c>
      <c r="BA99" s="109" t="str">
        <f t="shared" si="12"/>
        <v>n.a.</v>
      </c>
      <c r="BB99" s="110">
        <f t="shared" ref="BB99:BF99" si="298">+IFERROR( $AZ99 * CB99, 0 )</f>
        <v>0</v>
      </c>
      <c r="BC99" s="110">
        <f t="shared" si="298"/>
        <v>0</v>
      </c>
      <c r="BD99" s="110">
        <f t="shared" si="298"/>
        <v>0</v>
      </c>
      <c r="BE99" s="110">
        <f t="shared" si="298"/>
        <v>0</v>
      </c>
      <c r="BF99" s="111">
        <f t="shared" si="298"/>
        <v>0</v>
      </c>
      <c r="BG99" s="112"/>
      <c r="BH99" s="113"/>
      <c r="BI99" s="114" t="s">
        <v>27</v>
      </c>
      <c r="BJ99" s="115">
        <v>15.0</v>
      </c>
      <c r="BK99" s="116" t="s">
        <v>111</v>
      </c>
      <c r="BL99" s="117">
        <v>0.04</v>
      </c>
      <c r="BM99" s="118"/>
      <c r="BN99" s="119"/>
      <c r="BO99" s="120">
        <v>0.0</v>
      </c>
      <c r="BP99" s="28">
        <v>0.04</v>
      </c>
      <c r="BQ99" s="43">
        <f t="shared" si="14"/>
        <v>0</v>
      </c>
      <c r="BR99" s="121"/>
      <c r="BS99" s="122"/>
      <c r="BT99" s="20">
        <v>0.0</v>
      </c>
      <c r="BU99" s="20">
        <v>0.0</v>
      </c>
      <c r="BV99" s="20">
        <v>0.0</v>
      </c>
      <c r="BW99" s="20">
        <v>0.0</v>
      </c>
      <c r="BX99" s="155">
        <v>0.0</v>
      </c>
      <c r="BY99" s="156">
        <f t="shared" si="139"/>
        <v>0</v>
      </c>
      <c r="BZ99" s="124">
        <v>0.0</v>
      </c>
      <c r="CA99" s="45">
        <v>5479.0</v>
      </c>
      <c r="CB99" s="125">
        <v>0.7</v>
      </c>
      <c r="CC99" s="125">
        <v>0.2</v>
      </c>
      <c r="CD99" s="125" t="s">
        <v>112</v>
      </c>
      <c r="CE99" s="125" t="s">
        <v>112</v>
      </c>
      <c r="CF99" s="125">
        <v>0.1</v>
      </c>
      <c r="CG99" s="110">
        <f t="shared" ref="CG99:CK99" si="299">+IFERROR( $AV99 * CB99, 0 )</f>
        <v>0</v>
      </c>
      <c r="CH99" s="110">
        <f t="shared" si="299"/>
        <v>0</v>
      </c>
      <c r="CI99" s="110">
        <f t="shared" si="299"/>
        <v>0</v>
      </c>
      <c r="CJ99" s="110">
        <f t="shared" si="299"/>
        <v>0</v>
      </c>
      <c r="CK99" s="110">
        <f t="shared" si="299"/>
        <v>0</v>
      </c>
      <c r="CL99" s="126">
        <f t="shared" si="16"/>
        <v>0</v>
      </c>
      <c r="CM99" s="127">
        <v>3684.0</v>
      </c>
      <c r="CN99" s="128" t="e">
        <v>#N/A</v>
      </c>
      <c r="CO99" s="129" t="str">
        <f t="shared" si="17"/>
        <v>#N/A</v>
      </c>
      <c r="CP99" s="130">
        <v>0.0</v>
      </c>
      <c r="CQ99" s="131">
        <v>0.0</v>
      </c>
      <c r="CR99" s="132">
        <f t="shared" si="18"/>
        <v>0</v>
      </c>
      <c r="CS99" s="45" t="e">
        <v>#N/A</v>
      </c>
      <c r="CU99" s="8" t="s">
        <v>3</v>
      </c>
    </row>
    <row r="100" ht="13.5" customHeight="1" outlineLevel="1">
      <c r="B100" s="134">
        <v>0.0</v>
      </c>
      <c r="C100" s="88">
        <f t="shared" si="5"/>
        <v>93</v>
      </c>
      <c r="D100" s="87"/>
      <c r="E100" s="89"/>
      <c r="F100" s="89"/>
      <c r="G100" s="90"/>
      <c r="H100" s="157"/>
      <c r="I100" s="92"/>
      <c r="J100" s="93"/>
      <c r="K100" s="43">
        <f t="shared" si="6"/>
        <v>0</v>
      </c>
      <c r="L100" s="92">
        <v>1.0</v>
      </c>
      <c r="M100" s="157"/>
      <c r="N100" s="94" t="str">
        <f t="shared" si="7"/>
        <v> | </v>
      </c>
      <c r="O100" s="94"/>
      <c r="P100" s="95"/>
      <c r="Q100" s="95"/>
      <c r="R100" s="154">
        <f t="shared" si="112"/>
        <v>0</v>
      </c>
      <c r="S100" s="95">
        <v>0.0</v>
      </c>
      <c r="T100" s="96">
        <f t="shared" si="8"/>
        <v>0</v>
      </c>
      <c r="U100" s="97"/>
      <c r="V100" s="98" t="s">
        <v>109</v>
      </c>
      <c r="W100" s="99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1"/>
      <c r="AI100" s="102">
        <f t="shared" ref="AI100:AT100" si="300">+ W100 * ( 1 + $AJ$3 )</f>
        <v>0</v>
      </c>
      <c r="AJ100" s="102">
        <f t="shared" si="300"/>
        <v>0</v>
      </c>
      <c r="AK100" s="102">
        <f t="shared" si="300"/>
        <v>0</v>
      </c>
      <c r="AL100" s="102">
        <f t="shared" si="300"/>
        <v>0</v>
      </c>
      <c r="AM100" s="102">
        <f t="shared" si="300"/>
        <v>0</v>
      </c>
      <c r="AN100" s="102">
        <f t="shared" si="300"/>
        <v>0</v>
      </c>
      <c r="AO100" s="102">
        <f t="shared" si="300"/>
        <v>0</v>
      </c>
      <c r="AP100" s="102">
        <f t="shared" si="300"/>
        <v>0</v>
      </c>
      <c r="AQ100" s="102">
        <f t="shared" si="300"/>
        <v>0</v>
      </c>
      <c r="AR100" s="102">
        <f t="shared" si="300"/>
        <v>0</v>
      </c>
      <c r="AS100" s="102">
        <f t="shared" si="300"/>
        <v>0</v>
      </c>
      <c r="AT100" s="102">
        <f t="shared" si="300"/>
        <v>0</v>
      </c>
      <c r="AU100" s="104">
        <v>0.0</v>
      </c>
      <c r="AV100" s="105"/>
      <c r="AW100" s="106" t="str">
        <f t="shared" si="10"/>
        <v>n.a.</v>
      </c>
      <c r="AX100" s="90" t="s">
        <v>110</v>
      </c>
      <c r="AY100" s="107">
        <v>0.0</v>
      </c>
      <c r="AZ100" s="108">
        <f t="shared" si="11"/>
        <v>0</v>
      </c>
      <c r="BA100" s="109" t="str">
        <f t="shared" si="12"/>
        <v>n.a.</v>
      </c>
      <c r="BB100" s="110">
        <f t="shared" ref="BB100:BF100" si="301">+IFERROR( $AZ100 * CB100, 0 )</f>
        <v>0</v>
      </c>
      <c r="BC100" s="110">
        <f t="shared" si="301"/>
        <v>0</v>
      </c>
      <c r="BD100" s="110">
        <f t="shared" si="301"/>
        <v>0</v>
      </c>
      <c r="BE100" s="110">
        <f t="shared" si="301"/>
        <v>0</v>
      </c>
      <c r="BF100" s="111">
        <f t="shared" si="301"/>
        <v>0</v>
      </c>
      <c r="BG100" s="112"/>
      <c r="BH100" s="113"/>
      <c r="BI100" s="114" t="s">
        <v>27</v>
      </c>
      <c r="BJ100" s="115">
        <v>15.0</v>
      </c>
      <c r="BK100" s="116" t="s">
        <v>111</v>
      </c>
      <c r="BL100" s="117">
        <v>0.04</v>
      </c>
      <c r="BM100" s="118"/>
      <c r="BN100" s="119"/>
      <c r="BO100" s="120">
        <v>0.0</v>
      </c>
      <c r="BP100" s="28">
        <v>0.04</v>
      </c>
      <c r="BQ100" s="43">
        <f t="shared" si="14"/>
        <v>0</v>
      </c>
      <c r="BR100" s="121"/>
      <c r="BS100" s="122"/>
      <c r="BT100" s="20">
        <v>0.0</v>
      </c>
      <c r="BU100" s="20">
        <v>0.0</v>
      </c>
      <c r="BV100" s="20">
        <v>0.0</v>
      </c>
      <c r="BW100" s="20">
        <v>0.0</v>
      </c>
      <c r="BX100" s="155">
        <v>0.0</v>
      </c>
      <c r="BY100" s="156">
        <f t="shared" si="139"/>
        <v>0</v>
      </c>
      <c r="BZ100" s="124">
        <v>0.0</v>
      </c>
      <c r="CA100" s="45">
        <v>5479.0</v>
      </c>
      <c r="CB100" s="125">
        <v>0.7</v>
      </c>
      <c r="CC100" s="125">
        <v>0.2</v>
      </c>
      <c r="CD100" s="125" t="s">
        <v>112</v>
      </c>
      <c r="CE100" s="125" t="s">
        <v>112</v>
      </c>
      <c r="CF100" s="125">
        <v>0.1</v>
      </c>
      <c r="CG100" s="110">
        <f t="shared" ref="CG100:CK100" si="302">+IFERROR( $AV100 * CB100, 0 )</f>
        <v>0</v>
      </c>
      <c r="CH100" s="110">
        <f t="shared" si="302"/>
        <v>0</v>
      </c>
      <c r="CI100" s="110">
        <f t="shared" si="302"/>
        <v>0</v>
      </c>
      <c r="CJ100" s="110">
        <f t="shared" si="302"/>
        <v>0</v>
      </c>
      <c r="CK100" s="110">
        <f t="shared" si="302"/>
        <v>0</v>
      </c>
      <c r="CL100" s="126">
        <f t="shared" si="16"/>
        <v>0</v>
      </c>
      <c r="CM100" s="127">
        <v>3684.0</v>
      </c>
      <c r="CN100" s="128" t="e">
        <v>#N/A</v>
      </c>
      <c r="CO100" s="129" t="str">
        <f t="shared" si="17"/>
        <v>#N/A</v>
      </c>
      <c r="CP100" s="130">
        <v>0.0</v>
      </c>
      <c r="CQ100" s="131">
        <v>0.0</v>
      </c>
      <c r="CR100" s="132">
        <f t="shared" si="18"/>
        <v>0</v>
      </c>
      <c r="CS100" s="45" t="e">
        <v>#N/A</v>
      </c>
      <c r="CU100" s="8" t="s">
        <v>3</v>
      </c>
    </row>
    <row r="101" ht="13.5" customHeight="1" outlineLevel="1">
      <c r="B101" s="134">
        <v>0.0</v>
      </c>
      <c r="C101" s="88">
        <f t="shared" si="5"/>
        <v>94</v>
      </c>
      <c r="D101" s="87"/>
      <c r="E101" s="89"/>
      <c r="F101" s="89"/>
      <c r="G101" s="90"/>
      <c r="H101" s="157"/>
      <c r="I101" s="92"/>
      <c r="J101" s="93"/>
      <c r="K101" s="43">
        <f t="shared" si="6"/>
        <v>0</v>
      </c>
      <c r="L101" s="92">
        <v>1.0</v>
      </c>
      <c r="M101" s="157"/>
      <c r="N101" s="94" t="str">
        <f t="shared" si="7"/>
        <v> | </v>
      </c>
      <c r="O101" s="94"/>
      <c r="P101" s="95"/>
      <c r="Q101" s="95"/>
      <c r="R101" s="154">
        <f t="shared" si="112"/>
        <v>0</v>
      </c>
      <c r="S101" s="95">
        <v>0.0</v>
      </c>
      <c r="T101" s="96">
        <f t="shared" si="8"/>
        <v>0</v>
      </c>
      <c r="U101" s="97"/>
      <c r="V101" s="98" t="s">
        <v>109</v>
      </c>
      <c r="W101" s="99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1"/>
      <c r="AI101" s="102">
        <f t="shared" ref="AI101:AT101" si="303">+ W101 * ( 1 + $AJ$3 )</f>
        <v>0</v>
      </c>
      <c r="AJ101" s="102">
        <f t="shared" si="303"/>
        <v>0</v>
      </c>
      <c r="AK101" s="102">
        <f t="shared" si="303"/>
        <v>0</v>
      </c>
      <c r="AL101" s="102">
        <f t="shared" si="303"/>
        <v>0</v>
      </c>
      <c r="AM101" s="102">
        <f t="shared" si="303"/>
        <v>0</v>
      </c>
      <c r="AN101" s="102">
        <f t="shared" si="303"/>
        <v>0</v>
      </c>
      <c r="AO101" s="102">
        <f t="shared" si="303"/>
        <v>0</v>
      </c>
      <c r="AP101" s="102">
        <f t="shared" si="303"/>
        <v>0</v>
      </c>
      <c r="AQ101" s="102">
        <f t="shared" si="303"/>
        <v>0</v>
      </c>
      <c r="AR101" s="102">
        <f t="shared" si="303"/>
        <v>0</v>
      </c>
      <c r="AS101" s="102">
        <f t="shared" si="303"/>
        <v>0</v>
      </c>
      <c r="AT101" s="102">
        <f t="shared" si="303"/>
        <v>0</v>
      </c>
      <c r="AU101" s="104">
        <v>0.0</v>
      </c>
      <c r="AV101" s="105"/>
      <c r="AW101" s="106" t="str">
        <f t="shared" si="10"/>
        <v>n.a.</v>
      </c>
      <c r="AX101" s="90" t="s">
        <v>110</v>
      </c>
      <c r="AY101" s="107">
        <v>0.0</v>
      </c>
      <c r="AZ101" s="108">
        <f t="shared" si="11"/>
        <v>0</v>
      </c>
      <c r="BA101" s="109" t="str">
        <f t="shared" si="12"/>
        <v>n.a.</v>
      </c>
      <c r="BB101" s="110">
        <f t="shared" ref="BB101:BF101" si="304">+IFERROR( $AZ101 * CB101, 0 )</f>
        <v>0</v>
      </c>
      <c r="BC101" s="110">
        <f t="shared" si="304"/>
        <v>0</v>
      </c>
      <c r="BD101" s="110">
        <f t="shared" si="304"/>
        <v>0</v>
      </c>
      <c r="BE101" s="110">
        <f t="shared" si="304"/>
        <v>0</v>
      </c>
      <c r="BF101" s="111">
        <f t="shared" si="304"/>
        <v>0</v>
      </c>
      <c r="BG101" s="112"/>
      <c r="BH101" s="113"/>
      <c r="BI101" s="114" t="s">
        <v>27</v>
      </c>
      <c r="BJ101" s="115">
        <v>15.0</v>
      </c>
      <c r="BK101" s="116" t="s">
        <v>111</v>
      </c>
      <c r="BL101" s="117">
        <v>0.04</v>
      </c>
      <c r="BM101" s="118"/>
      <c r="BN101" s="119"/>
      <c r="BO101" s="120">
        <v>0.0</v>
      </c>
      <c r="BP101" s="28">
        <v>0.04</v>
      </c>
      <c r="BQ101" s="43">
        <f t="shared" si="14"/>
        <v>0</v>
      </c>
      <c r="BR101" s="121"/>
      <c r="BS101" s="122"/>
      <c r="BT101" s="20">
        <v>0.0</v>
      </c>
      <c r="BU101" s="20">
        <v>0.0</v>
      </c>
      <c r="BV101" s="20">
        <v>0.0</v>
      </c>
      <c r="BW101" s="20">
        <v>0.0</v>
      </c>
      <c r="BX101" s="155">
        <v>0.0</v>
      </c>
      <c r="BY101" s="156">
        <f t="shared" si="139"/>
        <v>0</v>
      </c>
      <c r="BZ101" s="124">
        <v>0.0</v>
      </c>
      <c r="CA101" s="45">
        <v>5479.0</v>
      </c>
      <c r="CB101" s="125">
        <v>0.7</v>
      </c>
      <c r="CC101" s="125">
        <v>0.2</v>
      </c>
      <c r="CD101" s="125" t="s">
        <v>112</v>
      </c>
      <c r="CE101" s="125" t="s">
        <v>112</v>
      </c>
      <c r="CF101" s="125">
        <v>0.1</v>
      </c>
      <c r="CG101" s="110">
        <f t="shared" ref="CG101:CK101" si="305">+IFERROR( $AV101 * CB101, 0 )</f>
        <v>0</v>
      </c>
      <c r="CH101" s="110">
        <f t="shared" si="305"/>
        <v>0</v>
      </c>
      <c r="CI101" s="110">
        <f t="shared" si="305"/>
        <v>0</v>
      </c>
      <c r="CJ101" s="110">
        <f t="shared" si="305"/>
        <v>0</v>
      </c>
      <c r="CK101" s="110">
        <f t="shared" si="305"/>
        <v>0</v>
      </c>
      <c r="CL101" s="126">
        <f t="shared" si="16"/>
        <v>0</v>
      </c>
      <c r="CM101" s="127">
        <v>3684.0</v>
      </c>
      <c r="CN101" s="128" t="e">
        <v>#N/A</v>
      </c>
      <c r="CO101" s="129" t="str">
        <f t="shared" si="17"/>
        <v>#N/A</v>
      </c>
      <c r="CP101" s="130">
        <v>0.0</v>
      </c>
      <c r="CQ101" s="131">
        <v>0.0</v>
      </c>
      <c r="CR101" s="132">
        <f t="shared" si="18"/>
        <v>0</v>
      </c>
      <c r="CS101" s="45" t="e">
        <v>#N/A</v>
      </c>
      <c r="CU101" s="8" t="s">
        <v>3</v>
      </c>
    </row>
    <row r="102" ht="13.5" customHeight="1" outlineLevel="1">
      <c r="B102" s="134">
        <v>0.0</v>
      </c>
      <c r="C102" s="88">
        <f t="shared" si="5"/>
        <v>95</v>
      </c>
      <c r="D102" s="87"/>
      <c r="E102" s="89"/>
      <c r="F102" s="89"/>
      <c r="G102" s="90"/>
      <c r="H102" s="157"/>
      <c r="I102" s="92"/>
      <c r="J102" s="93"/>
      <c r="K102" s="43">
        <f t="shared" si="6"/>
        <v>0</v>
      </c>
      <c r="L102" s="92">
        <v>1.0</v>
      </c>
      <c r="M102" s="157"/>
      <c r="N102" s="94" t="str">
        <f t="shared" si="7"/>
        <v> | </v>
      </c>
      <c r="O102" s="94"/>
      <c r="P102" s="95"/>
      <c r="Q102" s="95"/>
      <c r="R102" s="154">
        <f t="shared" si="112"/>
        <v>0</v>
      </c>
      <c r="S102" s="95">
        <v>0.0</v>
      </c>
      <c r="T102" s="96">
        <f t="shared" si="8"/>
        <v>0</v>
      </c>
      <c r="U102" s="97"/>
      <c r="V102" s="98" t="s">
        <v>109</v>
      </c>
      <c r="W102" s="99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1"/>
      <c r="AI102" s="102">
        <f t="shared" ref="AI102:AT102" si="306">+ W102 * ( 1 + $AJ$3 )</f>
        <v>0</v>
      </c>
      <c r="AJ102" s="102">
        <f t="shared" si="306"/>
        <v>0</v>
      </c>
      <c r="AK102" s="102">
        <f t="shared" si="306"/>
        <v>0</v>
      </c>
      <c r="AL102" s="102">
        <f t="shared" si="306"/>
        <v>0</v>
      </c>
      <c r="AM102" s="102">
        <f t="shared" si="306"/>
        <v>0</v>
      </c>
      <c r="AN102" s="102">
        <f t="shared" si="306"/>
        <v>0</v>
      </c>
      <c r="AO102" s="102">
        <f t="shared" si="306"/>
        <v>0</v>
      </c>
      <c r="AP102" s="102">
        <f t="shared" si="306"/>
        <v>0</v>
      </c>
      <c r="AQ102" s="102">
        <f t="shared" si="306"/>
        <v>0</v>
      </c>
      <c r="AR102" s="102">
        <f t="shared" si="306"/>
        <v>0</v>
      </c>
      <c r="AS102" s="102">
        <f t="shared" si="306"/>
        <v>0</v>
      </c>
      <c r="AT102" s="102">
        <f t="shared" si="306"/>
        <v>0</v>
      </c>
      <c r="AU102" s="104">
        <v>0.0</v>
      </c>
      <c r="AV102" s="105"/>
      <c r="AW102" s="106" t="str">
        <f t="shared" si="10"/>
        <v>n.a.</v>
      </c>
      <c r="AX102" s="90" t="s">
        <v>110</v>
      </c>
      <c r="AY102" s="107">
        <v>0.0</v>
      </c>
      <c r="AZ102" s="108">
        <f t="shared" si="11"/>
        <v>0</v>
      </c>
      <c r="BA102" s="109" t="str">
        <f t="shared" si="12"/>
        <v>n.a.</v>
      </c>
      <c r="BB102" s="110">
        <f t="shared" ref="BB102:BF102" si="307">+IFERROR( $AZ102 * CB102, 0 )</f>
        <v>0</v>
      </c>
      <c r="BC102" s="110">
        <f t="shared" si="307"/>
        <v>0</v>
      </c>
      <c r="BD102" s="110">
        <f t="shared" si="307"/>
        <v>0</v>
      </c>
      <c r="BE102" s="110">
        <f t="shared" si="307"/>
        <v>0</v>
      </c>
      <c r="BF102" s="111">
        <f t="shared" si="307"/>
        <v>0</v>
      </c>
      <c r="BG102" s="112"/>
      <c r="BH102" s="113"/>
      <c r="BI102" s="114" t="s">
        <v>27</v>
      </c>
      <c r="BJ102" s="115">
        <v>15.0</v>
      </c>
      <c r="BK102" s="116" t="s">
        <v>111</v>
      </c>
      <c r="BL102" s="117">
        <v>0.04</v>
      </c>
      <c r="BM102" s="118"/>
      <c r="BN102" s="119"/>
      <c r="BO102" s="120">
        <v>0.0</v>
      </c>
      <c r="BP102" s="28">
        <v>0.04</v>
      </c>
      <c r="BQ102" s="43">
        <f t="shared" si="14"/>
        <v>0</v>
      </c>
      <c r="BR102" s="121"/>
      <c r="BS102" s="122"/>
      <c r="BT102" s="20">
        <v>0.0</v>
      </c>
      <c r="BU102" s="20">
        <v>0.0</v>
      </c>
      <c r="BV102" s="20">
        <v>0.0</v>
      </c>
      <c r="BW102" s="20">
        <v>0.0</v>
      </c>
      <c r="BX102" s="155">
        <v>0.0</v>
      </c>
      <c r="BY102" s="156">
        <f t="shared" si="139"/>
        <v>0</v>
      </c>
      <c r="BZ102" s="124">
        <v>0.0</v>
      </c>
      <c r="CA102" s="45">
        <v>5479.0</v>
      </c>
      <c r="CB102" s="125">
        <v>0.7</v>
      </c>
      <c r="CC102" s="125">
        <v>0.2</v>
      </c>
      <c r="CD102" s="125" t="s">
        <v>112</v>
      </c>
      <c r="CE102" s="125" t="s">
        <v>112</v>
      </c>
      <c r="CF102" s="125">
        <v>0.1</v>
      </c>
      <c r="CG102" s="110">
        <f t="shared" ref="CG102:CK102" si="308">+IFERROR( $AV102 * CB102, 0 )</f>
        <v>0</v>
      </c>
      <c r="CH102" s="110">
        <f t="shared" si="308"/>
        <v>0</v>
      </c>
      <c r="CI102" s="110">
        <f t="shared" si="308"/>
        <v>0</v>
      </c>
      <c r="CJ102" s="110">
        <f t="shared" si="308"/>
        <v>0</v>
      </c>
      <c r="CK102" s="110">
        <f t="shared" si="308"/>
        <v>0</v>
      </c>
      <c r="CL102" s="126">
        <f t="shared" si="16"/>
        <v>0</v>
      </c>
      <c r="CM102" s="127">
        <v>3684.0</v>
      </c>
      <c r="CN102" s="128" t="e">
        <v>#N/A</v>
      </c>
      <c r="CO102" s="129" t="str">
        <f t="shared" si="17"/>
        <v>#N/A</v>
      </c>
      <c r="CP102" s="130">
        <v>0.0</v>
      </c>
      <c r="CQ102" s="131">
        <v>0.0</v>
      </c>
      <c r="CR102" s="132">
        <f t="shared" si="18"/>
        <v>0</v>
      </c>
      <c r="CS102" s="45" t="e">
        <v>#N/A</v>
      </c>
      <c r="CU102" s="8" t="s">
        <v>3</v>
      </c>
    </row>
    <row r="103" ht="13.5" customHeight="1">
      <c r="B103" s="158" t="s">
        <v>185</v>
      </c>
      <c r="C103" s="159"/>
      <c r="D103" s="158"/>
      <c r="E103" s="158"/>
      <c r="F103" s="158"/>
      <c r="G103" s="160"/>
      <c r="H103" s="160"/>
      <c r="I103" s="160"/>
      <c r="J103" s="160"/>
      <c r="K103" s="160"/>
      <c r="L103" s="160"/>
      <c r="M103" s="160"/>
      <c r="N103" s="160"/>
      <c r="O103" s="160"/>
      <c r="P103" s="160"/>
      <c r="Q103" s="160"/>
      <c r="R103" s="160"/>
      <c r="S103" s="160"/>
      <c r="T103" s="160"/>
      <c r="U103" s="160"/>
      <c r="V103" s="160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0"/>
      <c r="AJ103" s="160"/>
      <c r="AK103" s="160"/>
      <c r="AL103" s="160"/>
      <c r="AM103" s="160"/>
      <c r="AN103" s="160"/>
      <c r="AO103" s="160"/>
      <c r="AP103" s="160"/>
      <c r="AQ103" s="160"/>
      <c r="AR103" s="160"/>
      <c r="AS103" s="160"/>
      <c r="AT103" s="160"/>
      <c r="AU103" s="160"/>
      <c r="AV103" s="162"/>
      <c r="AW103" s="162"/>
      <c r="AX103" s="160"/>
      <c r="AY103" s="162"/>
      <c r="AZ103" s="162"/>
      <c r="BA103" s="162"/>
      <c r="BB103" s="160"/>
      <c r="BC103" s="160"/>
      <c r="BD103" s="160"/>
      <c r="BE103" s="160"/>
      <c r="BF103" s="160"/>
      <c r="BG103" s="160"/>
      <c r="BH103" s="160"/>
      <c r="BI103" s="160"/>
      <c r="BJ103" s="160"/>
      <c r="BK103" s="160"/>
      <c r="BL103" s="160"/>
      <c r="BM103" s="160"/>
      <c r="BN103" s="160"/>
      <c r="BO103" s="160"/>
      <c r="BP103" s="160"/>
      <c r="BQ103" s="160"/>
      <c r="BR103" s="160"/>
      <c r="BS103" s="160"/>
      <c r="BT103" s="160"/>
      <c r="BU103" s="160"/>
      <c r="BV103" s="160"/>
      <c r="BW103" s="160"/>
      <c r="BX103" s="160"/>
      <c r="BY103" s="160"/>
      <c r="BZ103" s="160"/>
      <c r="CA103" s="160"/>
      <c r="CB103" s="160"/>
      <c r="CC103" s="160"/>
      <c r="CD103" s="160"/>
      <c r="CE103" s="160"/>
      <c r="CF103" s="160"/>
      <c r="CG103" s="160"/>
      <c r="CH103" s="160"/>
      <c r="CI103" s="160"/>
      <c r="CJ103" s="160"/>
      <c r="CK103" s="160"/>
      <c r="CL103" s="160"/>
      <c r="CM103" s="160"/>
      <c r="CN103" s="160"/>
      <c r="CO103" s="160"/>
      <c r="CP103" s="160"/>
      <c r="CQ103" s="160"/>
      <c r="CR103" s="160"/>
      <c r="CS103" s="160"/>
      <c r="CU103" s="8" t="s">
        <v>3</v>
      </c>
    </row>
    <row r="104" ht="13.5" customHeight="1">
      <c r="V104" s="163"/>
      <c r="W104" s="164"/>
      <c r="X104" s="165"/>
      <c r="Y104" s="165"/>
      <c r="Z104" s="165"/>
      <c r="AA104" s="165"/>
      <c r="AB104" s="165"/>
      <c r="AC104" s="165"/>
      <c r="AD104" s="165"/>
      <c r="AE104" s="165"/>
      <c r="AF104" s="165"/>
      <c r="AG104" s="165"/>
      <c r="AH104" s="165"/>
      <c r="AI104" s="166"/>
      <c r="AJ104" s="166"/>
      <c r="AK104" s="166"/>
      <c r="AL104" s="166"/>
      <c r="AM104" s="166"/>
      <c r="AN104" s="166"/>
      <c r="AO104" s="166"/>
      <c r="AP104" s="166"/>
      <c r="AQ104" s="166"/>
      <c r="AR104" s="166"/>
      <c r="AS104" s="166"/>
      <c r="AT104" s="166"/>
      <c r="AW104" s="30"/>
      <c r="AX104" s="166"/>
      <c r="AY104" s="30"/>
      <c r="AZ104" s="30"/>
      <c r="BA104" s="30"/>
      <c r="BB104" s="166"/>
      <c r="BC104" s="166"/>
      <c r="BD104" s="166"/>
      <c r="BE104" s="166"/>
      <c r="BF104" s="166"/>
      <c r="BG104" s="166"/>
      <c r="BH104" s="166"/>
      <c r="BI104" s="166"/>
      <c r="BJ104" s="166"/>
      <c r="BK104" s="166"/>
      <c r="BL104" s="166"/>
      <c r="BM104" s="166"/>
      <c r="BN104" s="167"/>
      <c r="BO104" s="168"/>
      <c r="BP104" s="166"/>
      <c r="BQ104" s="166"/>
      <c r="BR104" s="166"/>
      <c r="BS104" s="166"/>
      <c r="BT104" s="166"/>
      <c r="BU104" s="166"/>
      <c r="BV104" s="166"/>
      <c r="BW104" s="166"/>
      <c r="BX104" s="166"/>
      <c r="BY104" s="166"/>
      <c r="BZ104" s="166"/>
      <c r="CA104" s="166"/>
      <c r="CB104" s="166"/>
      <c r="CC104" s="166"/>
      <c r="CH104" s="169"/>
      <c r="CN104" s="170"/>
      <c r="CO104" s="170"/>
      <c r="CU104" s="8"/>
    </row>
    <row r="105" ht="13.5" customHeight="1">
      <c r="V105" s="171"/>
      <c r="W105" s="172"/>
      <c r="AI105" s="173"/>
      <c r="AJ105" s="173"/>
      <c r="AK105" s="173"/>
      <c r="AL105" s="173"/>
      <c r="AM105" s="173"/>
      <c r="AN105" s="173"/>
      <c r="AO105" s="173"/>
      <c r="AP105" s="173"/>
      <c r="AQ105" s="173"/>
      <c r="AR105" s="173"/>
      <c r="AS105" s="173"/>
      <c r="AT105" s="173"/>
      <c r="AW105" s="30"/>
      <c r="AX105" s="166"/>
      <c r="AY105" s="30"/>
      <c r="AZ105" s="30"/>
      <c r="BA105" s="30"/>
      <c r="BB105" s="166"/>
      <c r="BC105" s="166"/>
      <c r="BD105" s="166"/>
      <c r="BE105" s="166"/>
      <c r="BF105" s="166"/>
      <c r="BG105" s="166"/>
      <c r="BH105" s="166"/>
      <c r="BI105" s="166"/>
      <c r="BJ105" s="166"/>
      <c r="BK105" s="166"/>
      <c r="BL105" s="166"/>
      <c r="BM105" s="166"/>
      <c r="BN105" s="166"/>
      <c r="BO105" s="174"/>
      <c r="BP105" s="166"/>
      <c r="BQ105" s="166"/>
      <c r="BR105" s="166"/>
      <c r="BS105" s="166"/>
      <c r="BT105" s="166"/>
      <c r="BU105" s="166"/>
      <c r="BV105" s="166"/>
      <c r="BW105" s="166"/>
      <c r="BX105" s="166"/>
      <c r="BY105" s="166"/>
      <c r="BZ105" s="166"/>
      <c r="CA105" s="175"/>
      <c r="CB105" s="175"/>
      <c r="CC105" s="174"/>
      <c r="CD105" s="166"/>
      <c r="CE105" s="166"/>
      <c r="CF105" s="166"/>
      <c r="CG105" s="166"/>
      <c r="CH105" s="166"/>
      <c r="CI105" s="176"/>
      <c r="CJ105" s="166"/>
      <c r="CK105" s="166"/>
      <c r="CL105" s="173"/>
      <c r="CM105" s="173"/>
      <c r="CN105" s="173"/>
      <c r="CO105" s="173"/>
      <c r="CP105" s="166"/>
      <c r="CQ105" s="166"/>
      <c r="CR105" s="166"/>
      <c r="CS105" s="166"/>
      <c r="CU105" s="8"/>
    </row>
    <row r="106" ht="13.5" customHeight="1">
      <c r="N106" s="23" t="s">
        <v>186</v>
      </c>
      <c r="V106" s="171"/>
      <c r="W106" s="172"/>
      <c r="AI106" s="166"/>
      <c r="AJ106" s="166"/>
      <c r="AK106" s="166"/>
      <c r="AL106" s="166"/>
      <c r="AM106" s="166"/>
      <c r="AN106" s="166"/>
      <c r="AO106" s="166"/>
      <c r="AP106" s="166"/>
      <c r="AQ106" s="166"/>
      <c r="AR106" s="166"/>
      <c r="AS106" s="166"/>
      <c r="AT106" s="166"/>
      <c r="AU106" s="177" t="str">
        <f>N30</f>
        <v>Playa Hoteles | Hyatt Zilara Cancun</v>
      </c>
      <c r="AV106" s="32">
        <f>AV30</f>
        <v>788774.0046</v>
      </c>
      <c r="AW106" s="30"/>
      <c r="AX106" s="166"/>
      <c r="AY106" s="30"/>
      <c r="AZ106" s="30"/>
      <c r="BA106" s="30"/>
      <c r="BB106" s="166"/>
      <c r="BC106" s="166"/>
      <c r="BD106" s="166"/>
      <c r="BE106" s="166"/>
      <c r="BF106" s="166"/>
      <c r="BG106" s="166"/>
      <c r="BH106" s="166"/>
      <c r="BI106" s="166"/>
      <c r="BJ106" s="166"/>
      <c r="BK106" s="166"/>
      <c r="BL106" s="166"/>
      <c r="BM106" s="178"/>
      <c r="BN106" s="166"/>
      <c r="BO106" s="174"/>
      <c r="BP106" s="166"/>
      <c r="BQ106" s="166"/>
      <c r="BR106" s="166"/>
      <c r="BS106" s="166"/>
      <c r="BT106" s="166"/>
      <c r="BU106" s="166"/>
      <c r="BV106" s="175"/>
      <c r="BW106" s="175"/>
      <c r="BX106" s="175"/>
      <c r="BY106" s="175"/>
      <c r="BZ106" s="175"/>
      <c r="CA106" s="175"/>
      <c r="CB106" s="175"/>
      <c r="CC106" s="174"/>
      <c r="CD106" s="166"/>
      <c r="CE106" s="166"/>
      <c r="CF106" s="166"/>
      <c r="CG106" s="174"/>
      <c r="CH106" s="166"/>
      <c r="CI106" s="173"/>
      <c r="CJ106" s="173"/>
      <c r="CK106" s="166"/>
      <c r="CL106" s="173"/>
      <c r="CM106" s="173"/>
      <c r="CN106" s="173"/>
      <c r="CO106" s="173"/>
      <c r="CP106" s="166"/>
      <c r="CQ106" s="166"/>
      <c r="CR106" s="166"/>
      <c r="CS106" s="166"/>
      <c r="CU106" s="8"/>
    </row>
    <row r="107" ht="13.5" customHeight="1">
      <c r="T107" s="179"/>
      <c r="V107" s="163"/>
      <c r="W107" s="164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6"/>
      <c r="AJ107" s="166"/>
      <c r="AK107" s="166"/>
      <c r="AL107" s="166"/>
      <c r="AM107" s="166"/>
      <c r="AN107" s="166"/>
      <c r="AO107" s="166"/>
      <c r="AP107" s="166"/>
      <c r="AQ107" s="166"/>
      <c r="AR107" s="166"/>
      <c r="AS107" s="166"/>
      <c r="AT107" s="166"/>
      <c r="AU107" s="177" t="str">
        <f t="shared" ref="AU107:AU108" si="309">N33</f>
        <v>Ediplast | Ediplast SFV</v>
      </c>
      <c r="AV107" s="32">
        <f t="shared" ref="AV107:AV108" si="310">AV33</f>
        <v>572286.69</v>
      </c>
      <c r="AW107" s="30"/>
      <c r="AX107" s="166"/>
      <c r="AY107" s="30"/>
      <c r="AZ107" s="30"/>
      <c r="BA107" s="30"/>
      <c r="BB107" s="166"/>
      <c r="BC107" s="166"/>
      <c r="BD107" s="166"/>
      <c r="BE107" s="166"/>
      <c r="BF107" s="166"/>
      <c r="BG107" s="166"/>
      <c r="BH107" s="166"/>
      <c r="BI107" s="166"/>
      <c r="BJ107" s="166"/>
      <c r="BK107" s="166"/>
      <c r="BL107" s="166"/>
      <c r="BM107" s="166"/>
      <c r="BN107" s="173"/>
      <c r="BO107" s="166"/>
      <c r="BP107" s="166"/>
      <c r="BQ107" s="166"/>
      <c r="BR107" s="166"/>
      <c r="BS107" s="166"/>
      <c r="BT107" s="166"/>
      <c r="BU107" s="166"/>
      <c r="BV107" s="175"/>
      <c r="BW107" s="175"/>
      <c r="BX107" s="175"/>
      <c r="BY107" s="175"/>
      <c r="BZ107" s="175"/>
      <c r="CA107" s="175"/>
      <c r="CB107" s="175"/>
      <c r="CC107" s="174"/>
      <c r="CD107" s="166"/>
      <c r="CE107" s="166"/>
      <c r="CF107" s="180"/>
      <c r="CG107" s="181"/>
      <c r="CH107" s="166"/>
      <c r="CI107" s="173"/>
      <c r="CJ107" s="173"/>
      <c r="CK107" s="181"/>
      <c r="CL107" s="173"/>
      <c r="CM107" s="173"/>
      <c r="CN107" s="173"/>
      <c r="CO107" s="173"/>
      <c r="CP107" s="166"/>
      <c r="CQ107" s="166"/>
      <c r="CR107" s="166"/>
      <c r="CS107" s="166"/>
      <c r="CU107" s="8"/>
    </row>
    <row r="108" ht="13.5" customHeight="1">
      <c r="V108" s="163"/>
      <c r="W108" s="182"/>
      <c r="AI108" s="173"/>
      <c r="AJ108" s="173"/>
      <c r="AK108" s="173"/>
      <c r="AL108" s="173"/>
      <c r="AM108" s="173"/>
      <c r="AN108" s="173"/>
      <c r="AO108" s="173"/>
      <c r="AP108" s="173"/>
      <c r="AQ108" s="173"/>
      <c r="AR108" s="173"/>
      <c r="AS108" s="173"/>
      <c r="AT108" s="173"/>
      <c r="AU108" s="177" t="str">
        <f t="shared" si="309"/>
        <v>Ediplast | Ediplast BESS</v>
      </c>
      <c r="AV108" s="30">
        <f t="shared" si="310"/>
        <v>3388520.73</v>
      </c>
      <c r="AW108" s="30"/>
      <c r="AX108" s="173"/>
      <c r="AY108" s="30"/>
      <c r="AZ108" s="30"/>
      <c r="BA108" s="30"/>
      <c r="BB108" s="166"/>
      <c r="BC108" s="166"/>
      <c r="BD108" s="166"/>
      <c r="BE108" s="166"/>
      <c r="BF108" s="166"/>
      <c r="BG108" s="166"/>
      <c r="BH108" s="166"/>
      <c r="BI108" s="166"/>
      <c r="BJ108" s="166"/>
      <c r="BK108" s="166"/>
      <c r="BL108" s="166"/>
      <c r="BM108" s="166"/>
      <c r="BN108" s="166"/>
      <c r="BO108" s="166"/>
      <c r="BP108" s="166"/>
      <c r="BQ108" s="166"/>
      <c r="BR108" s="166"/>
      <c r="BS108" s="166"/>
      <c r="BT108" s="166"/>
      <c r="BU108" s="166"/>
      <c r="BV108" s="175"/>
      <c r="BW108" s="175"/>
      <c r="BX108" s="175"/>
      <c r="BY108" s="175"/>
      <c r="BZ108" s="175"/>
      <c r="CA108" s="175"/>
      <c r="CB108" s="175"/>
      <c r="CC108" s="174"/>
      <c r="CD108" s="166"/>
      <c r="CE108" s="166"/>
      <c r="CF108" s="180"/>
      <c r="CG108" s="21"/>
      <c r="CH108" s="166"/>
      <c r="CI108" s="183"/>
      <c r="CJ108" s="21"/>
      <c r="CK108" s="21"/>
      <c r="CL108" s="173"/>
      <c r="CM108" s="173"/>
      <c r="CN108" s="173"/>
      <c r="CO108" s="173"/>
      <c r="CP108" s="166"/>
      <c r="CQ108" s="166"/>
      <c r="CR108" s="166"/>
      <c r="CS108" s="166"/>
      <c r="CU108" s="8"/>
    </row>
    <row r="109" ht="13.5" customHeight="1">
      <c r="V109" s="184"/>
      <c r="W109" s="182"/>
      <c r="AI109" s="166"/>
      <c r="AJ109" s="166"/>
      <c r="AK109" s="166"/>
      <c r="AL109" s="166"/>
      <c r="AM109" s="166"/>
      <c r="AN109" s="166"/>
      <c r="AO109" s="166"/>
      <c r="AP109" s="166"/>
      <c r="AQ109" s="166"/>
      <c r="AR109" s="166"/>
      <c r="AS109" s="166"/>
      <c r="AT109" s="166"/>
      <c r="AU109" s="166"/>
      <c r="AV109" s="30"/>
      <c r="AW109" s="30"/>
      <c r="AX109" s="166"/>
      <c r="AY109" s="30"/>
      <c r="AZ109" s="30"/>
      <c r="BA109" s="30"/>
      <c r="BB109" s="166"/>
      <c r="BC109" s="166"/>
      <c r="BD109" s="166"/>
      <c r="BE109" s="166"/>
      <c r="BF109" s="166"/>
      <c r="BG109" s="166"/>
      <c r="BH109" s="166"/>
      <c r="BI109" s="166"/>
      <c r="BJ109" s="166"/>
      <c r="BK109" s="166"/>
      <c r="BL109" s="166"/>
      <c r="BM109" s="166"/>
      <c r="BN109" s="166"/>
      <c r="BO109" s="173"/>
      <c r="BP109" s="166"/>
      <c r="BQ109" s="166"/>
      <c r="BR109" s="166"/>
      <c r="BS109" s="166"/>
      <c r="BT109" s="166"/>
      <c r="BU109" s="166"/>
      <c r="BV109" s="175"/>
      <c r="BW109" s="175"/>
      <c r="BX109" s="175"/>
      <c r="BY109" s="175"/>
      <c r="BZ109" s="175"/>
      <c r="CA109" s="175"/>
      <c r="CB109" s="175"/>
      <c r="CC109" s="174"/>
      <c r="CD109" s="166"/>
      <c r="CE109" s="166"/>
      <c r="CF109" s="180"/>
      <c r="CG109" s="21"/>
      <c r="CH109" s="166"/>
      <c r="CI109" s="21"/>
      <c r="CJ109" s="21"/>
      <c r="CK109" s="21"/>
      <c r="CL109" s="173"/>
      <c r="CM109" s="173"/>
      <c r="CN109" s="173"/>
      <c r="CO109" s="173"/>
      <c r="CP109" s="166"/>
      <c r="CQ109" s="166"/>
      <c r="CR109" s="166"/>
      <c r="CS109" s="166"/>
      <c r="CU109" s="8"/>
    </row>
    <row r="110" ht="13.5" customHeight="1">
      <c r="V110" s="184"/>
      <c r="W110" s="182"/>
      <c r="AI110" s="173"/>
      <c r="AJ110" s="166"/>
      <c r="AK110" s="166"/>
      <c r="AL110" s="166"/>
      <c r="AM110" s="166"/>
      <c r="AN110" s="166"/>
      <c r="AO110" s="166"/>
      <c r="AP110" s="166"/>
      <c r="AQ110" s="166"/>
      <c r="AR110" s="166"/>
      <c r="AS110" s="166"/>
      <c r="AT110" s="166"/>
      <c r="AU110" s="166" t="s">
        <v>187</v>
      </c>
      <c r="AV110" s="178">
        <f>AV30+AV33+AV34</f>
        <v>4749581.425</v>
      </c>
      <c r="AW110" s="30"/>
      <c r="AX110" s="166"/>
      <c r="AY110" s="30"/>
      <c r="AZ110" s="30"/>
      <c r="BA110" s="30"/>
      <c r="BB110" s="166"/>
      <c r="BC110" s="166"/>
      <c r="BD110" s="166"/>
      <c r="BE110" s="166"/>
      <c r="BF110" s="166"/>
      <c r="BG110" s="166"/>
      <c r="BH110" s="166"/>
      <c r="BI110" s="166"/>
      <c r="BJ110" s="166"/>
      <c r="BK110" s="166"/>
      <c r="BL110" s="166"/>
      <c r="BM110" s="166"/>
      <c r="BN110" s="166"/>
      <c r="BO110" s="166"/>
      <c r="BP110" s="166"/>
      <c r="BQ110" s="166"/>
      <c r="BR110" s="166"/>
      <c r="BS110" s="166"/>
      <c r="BT110" s="166"/>
      <c r="BU110" s="166"/>
      <c r="BV110" s="175"/>
      <c r="BW110" s="175"/>
      <c r="BX110" s="175"/>
      <c r="BY110" s="175"/>
      <c r="BZ110" s="175"/>
      <c r="CA110" s="166"/>
      <c r="CB110" s="166"/>
      <c r="CC110" s="174"/>
      <c r="CD110" s="166"/>
      <c r="CE110" s="166"/>
      <c r="CF110" s="180"/>
      <c r="CG110" s="21"/>
      <c r="CH110" s="21"/>
      <c r="CJ110" s="21"/>
      <c r="CK110" s="21"/>
      <c r="CL110" s="173"/>
      <c r="CM110" s="173"/>
      <c r="CN110" s="173"/>
      <c r="CO110" s="173"/>
      <c r="CP110" s="166"/>
      <c r="CQ110" s="166"/>
      <c r="CR110" s="166"/>
      <c r="CS110" s="166"/>
      <c r="CU110" s="8"/>
    </row>
    <row r="111" ht="13.5" customHeight="1">
      <c r="V111" s="184"/>
      <c r="W111" s="182"/>
      <c r="AI111" s="166"/>
      <c r="AJ111" s="166"/>
      <c r="AK111" s="166"/>
      <c r="AL111" s="166"/>
      <c r="AM111" s="166"/>
      <c r="AN111" s="166"/>
      <c r="AO111" s="166"/>
      <c r="AP111" s="166"/>
      <c r="AQ111" s="166"/>
      <c r="AR111" s="166"/>
      <c r="AS111" s="166"/>
      <c r="AT111" s="166"/>
      <c r="AU111" s="166" t="s">
        <v>188</v>
      </c>
      <c r="AV111" s="178">
        <f>AV110*0.2</f>
        <v>949916.2849</v>
      </c>
      <c r="AW111" s="30"/>
      <c r="AX111" s="166"/>
      <c r="AY111" s="30"/>
      <c r="AZ111" s="30"/>
      <c r="BA111" s="30"/>
      <c r="BB111" s="166"/>
      <c r="BC111" s="166"/>
      <c r="BD111" s="166"/>
      <c r="BE111" s="166"/>
      <c r="BF111" s="166"/>
      <c r="BG111" s="166"/>
      <c r="BH111" s="166"/>
      <c r="BI111" s="166"/>
      <c r="BJ111" s="166"/>
      <c r="BK111" s="166"/>
      <c r="BL111" s="166"/>
      <c r="BM111" s="166"/>
      <c r="BN111" s="166"/>
      <c r="BO111" s="166"/>
      <c r="BP111" s="166"/>
      <c r="BQ111" s="166"/>
      <c r="BR111" s="166"/>
      <c r="BS111" s="166"/>
      <c r="BT111" s="166"/>
      <c r="BU111" s="166"/>
      <c r="BV111" s="175"/>
      <c r="BW111" s="175"/>
      <c r="BX111" s="175"/>
      <c r="BY111" s="175"/>
      <c r="BZ111" s="175"/>
      <c r="CA111" s="166"/>
      <c r="CB111" s="166"/>
      <c r="CC111" s="174"/>
      <c r="CD111" s="166"/>
      <c r="CE111" s="166"/>
      <c r="CF111" s="180"/>
      <c r="CG111" s="185"/>
      <c r="CH111" s="185"/>
      <c r="CI111" s="186"/>
      <c r="CJ111" s="185"/>
      <c r="CK111" s="185"/>
      <c r="CL111" s="173"/>
      <c r="CM111" s="173"/>
      <c r="CN111" s="173"/>
      <c r="CO111" s="173"/>
      <c r="CP111" s="166"/>
      <c r="CQ111" s="166"/>
      <c r="CR111" s="166"/>
      <c r="CS111" s="166"/>
      <c r="CU111" s="8"/>
    </row>
    <row r="112" ht="13.5" customHeight="1">
      <c r="V112" s="184"/>
      <c r="W112" s="182"/>
      <c r="AI112" s="166"/>
      <c r="AJ112" s="166"/>
      <c r="AK112" s="166"/>
      <c r="AL112" s="166"/>
      <c r="AM112" s="166"/>
      <c r="AN112" s="166"/>
      <c r="AO112" s="166"/>
      <c r="AP112" s="166"/>
      <c r="AQ112" s="166"/>
      <c r="AR112" s="166"/>
      <c r="AS112" s="166"/>
      <c r="AT112" s="166"/>
      <c r="AW112" s="30"/>
      <c r="AX112" s="178"/>
      <c r="AY112" s="30"/>
      <c r="AZ112" s="30"/>
      <c r="BA112" s="30"/>
      <c r="BB112" s="166"/>
      <c r="BC112" s="166"/>
      <c r="BD112" s="166"/>
      <c r="BE112" s="166"/>
      <c r="BF112" s="166"/>
      <c r="BG112" s="166"/>
      <c r="BH112" s="166"/>
      <c r="BI112" s="166"/>
      <c r="BJ112" s="166"/>
      <c r="BK112" s="166"/>
      <c r="BL112" s="166"/>
      <c r="BM112" s="166"/>
      <c r="BN112" s="166"/>
      <c r="BO112" s="166"/>
      <c r="BP112" s="166"/>
      <c r="BQ112" s="166"/>
      <c r="BR112" s="166"/>
      <c r="BS112" s="166"/>
      <c r="BT112" s="166"/>
      <c r="BU112" s="166"/>
      <c r="BV112" s="175"/>
      <c r="BW112" s="175"/>
      <c r="BX112" s="175"/>
      <c r="BY112" s="175"/>
      <c r="BZ112" s="175"/>
      <c r="CA112" s="166"/>
      <c r="CB112" s="166"/>
      <c r="CC112" s="166"/>
      <c r="CD112" s="166"/>
      <c r="CE112" s="166"/>
      <c r="CF112" s="166"/>
      <c r="CG112" s="173"/>
      <c r="CH112" s="173"/>
      <c r="CI112" s="166"/>
      <c r="CJ112" s="166"/>
      <c r="CK112" s="166"/>
      <c r="CL112" s="169"/>
      <c r="CM112" s="187"/>
      <c r="CN112" s="166"/>
      <c r="CO112" s="166"/>
      <c r="CP112" s="166"/>
      <c r="CQ112" s="166"/>
      <c r="CR112" s="166"/>
      <c r="CS112" s="166"/>
      <c r="CU112" s="8"/>
    </row>
    <row r="113" ht="13.5" customHeight="1">
      <c r="S113" s="188"/>
      <c r="V113" s="184"/>
      <c r="W113" s="182"/>
      <c r="AI113" s="166"/>
      <c r="AJ113" s="166"/>
      <c r="AK113" s="166"/>
      <c r="AL113" s="166"/>
      <c r="AM113" s="166"/>
      <c r="AN113" s="166"/>
      <c r="AO113" s="166"/>
      <c r="AP113" s="166"/>
      <c r="AQ113" s="166"/>
      <c r="AR113" s="166"/>
      <c r="AS113" s="166"/>
      <c r="AT113" s="166"/>
      <c r="AU113" s="166"/>
      <c r="AV113" s="30"/>
      <c r="AW113" s="30"/>
      <c r="AX113" s="166"/>
      <c r="AY113" s="30"/>
      <c r="AZ113" s="30"/>
      <c r="BA113" s="30"/>
      <c r="BB113" s="166"/>
      <c r="BC113" s="166"/>
      <c r="BD113" s="166"/>
      <c r="BE113" s="166"/>
      <c r="BF113" s="166"/>
      <c r="BG113" s="166"/>
      <c r="BH113" s="166"/>
      <c r="BI113" s="166"/>
      <c r="BJ113" s="166"/>
      <c r="BK113" s="166"/>
      <c r="BL113" s="166"/>
      <c r="BM113" s="166"/>
      <c r="BN113" s="166"/>
      <c r="BO113" s="166"/>
      <c r="BP113" s="166"/>
      <c r="BQ113" s="166"/>
      <c r="BR113" s="166"/>
      <c r="BS113" s="166"/>
      <c r="BT113" s="166"/>
      <c r="BU113" s="166"/>
      <c r="BV113" s="175"/>
      <c r="BW113" s="175"/>
      <c r="BX113" s="175"/>
      <c r="BY113" s="175"/>
      <c r="BZ113" s="175"/>
      <c r="CA113" s="166"/>
      <c r="CB113" s="166"/>
      <c r="CC113" s="166"/>
      <c r="CD113" s="166"/>
      <c r="CE113" s="166"/>
      <c r="CF113" s="166"/>
      <c r="CG113" s="173"/>
      <c r="CH113" s="173"/>
      <c r="CI113" s="166"/>
      <c r="CJ113" s="166"/>
      <c r="CK113" s="166"/>
      <c r="CL113" s="169"/>
      <c r="CM113" s="187"/>
      <c r="CN113" s="166"/>
      <c r="CO113" s="166"/>
      <c r="CP113" s="166"/>
      <c r="CQ113" s="166"/>
      <c r="CR113" s="166"/>
      <c r="CS113" s="166"/>
      <c r="CU113" s="8"/>
    </row>
    <row r="114" ht="13.5" customHeight="1">
      <c r="S114" s="188"/>
      <c r="V114" s="184"/>
      <c r="W114" s="182"/>
      <c r="AI114" s="166"/>
      <c r="AJ114" s="166"/>
      <c r="AK114" s="166"/>
      <c r="AL114" s="166"/>
      <c r="AM114" s="166"/>
      <c r="AN114" s="166"/>
      <c r="AO114" s="166"/>
      <c r="AP114" s="166"/>
      <c r="AQ114" s="166"/>
      <c r="AR114" s="166"/>
      <c r="AS114" s="166"/>
      <c r="AT114" s="166"/>
      <c r="AU114" s="166"/>
      <c r="AV114" s="30"/>
      <c r="AW114" s="30"/>
      <c r="AX114" s="166"/>
      <c r="AY114" s="30"/>
      <c r="AZ114" s="30"/>
      <c r="BA114" s="30"/>
      <c r="BB114" s="166"/>
      <c r="BC114" s="166"/>
      <c r="BD114" s="166"/>
      <c r="BE114" s="166"/>
      <c r="BF114" s="166"/>
      <c r="BG114" s="166"/>
      <c r="BH114" s="166"/>
      <c r="BI114" s="166"/>
      <c r="BJ114" s="166"/>
      <c r="BK114" s="166"/>
      <c r="BL114" s="166"/>
      <c r="BM114" s="166"/>
      <c r="BN114" s="166"/>
      <c r="BO114" s="166"/>
      <c r="BP114" s="166"/>
      <c r="BQ114" s="166"/>
      <c r="BR114" s="166"/>
      <c r="BS114" s="166"/>
      <c r="BT114" s="166"/>
      <c r="BU114" s="166"/>
      <c r="BV114" s="175"/>
      <c r="BW114" s="175"/>
      <c r="BX114" s="175"/>
      <c r="BY114" s="175"/>
      <c r="BZ114" s="175"/>
      <c r="CA114" s="166"/>
      <c r="CB114" s="166"/>
      <c r="CC114" s="166"/>
      <c r="CD114" s="166"/>
      <c r="CE114" s="166"/>
      <c r="CF114" s="166"/>
      <c r="CG114" s="166"/>
      <c r="CH114" s="166"/>
      <c r="CI114" s="166"/>
      <c r="CJ114" s="166"/>
      <c r="CK114" s="166"/>
      <c r="CL114" s="178"/>
      <c r="CM114" s="178"/>
      <c r="CN114" s="178"/>
      <c r="CO114" s="166"/>
      <c r="CP114" s="166"/>
      <c r="CQ114" s="166"/>
      <c r="CR114" s="166"/>
      <c r="CS114" s="166"/>
      <c r="CU114" s="8"/>
    </row>
    <row r="115" ht="13.5" customHeight="1">
      <c r="S115" s="188"/>
      <c r="V115" s="184"/>
      <c r="W115" s="182"/>
      <c r="AI115" s="166"/>
      <c r="AJ115" s="166"/>
      <c r="AK115" s="166"/>
      <c r="AL115" s="166"/>
      <c r="AM115" s="166"/>
      <c r="AN115" s="166"/>
      <c r="AO115" s="166"/>
      <c r="AP115" s="166"/>
      <c r="AQ115" s="166"/>
      <c r="AR115" s="166"/>
      <c r="AS115" s="166"/>
      <c r="AT115" s="166"/>
      <c r="AU115" s="166"/>
      <c r="AV115" s="30"/>
      <c r="AW115" s="30"/>
      <c r="AX115" s="166"/>
      <c r="AY115" s="30"/>
      <c r="AZ115" s="30"/>
      <c r="BA115" s="30"/>
      <c r="BB115" s="166"/>
      <c r="BC115" s="166"/>
      <c r="BD115" s="166"/>
      <c r="BE115" s="166"/>
      <c r="BF115" s="166"/>
      <c r="BG115" s="166"/>
      <c r="BH115" s="166"/>
      <c r="BI115" s="166"/>
      <c r="BJ115" s="166"/>
      <c r="BK115" s="166"/>
      <c r="BL115" s="166"/>
      <c r="BM115" s="166"/>
      <c r="BN115" s="166"/>
      <c r="BO115" s="166"/>
      <c r="BP115" s="166"/>
      <c r="BQ115" s="166"/>
      <c r="BR115" s="166"/>
      <c r="BS115" s="166"/>
      <c r="BT115" s="166"/>
      <c r="BU115" s="166"/>
      <c r="BV115" s="175"/>
      <c r="BW115" s="175"/>
      <c r="BX115" s="175"/>
      <c r="BY115" s="175"/>
      <c r="BZ115" s="175"/>
      <c r="CA115" s="166"/>
      <c r="CB115" s="166"/>
      <c r="CC115" s="166"/>
      <c r="CD115" s="166"/>
      <c r="CE115" s="166"/>
      <c r="CF115" s="166"/>
      <c r="CG115" s="166"/>
      <c r="CH115" s="166"/>
      <c r="CI115" s="166"/>
      <c r="CJ115" s="166"/>
      <c r="CK115" s="166"/>
      <c r="CL115" s="178"/>
      <c r="CM115" s="178"/>
      <c r="CN115" s="178"/>
      <c r="CO115" s="166"/>
      <c r="CP115" s="166"/>
      <c r="CQ115" s="166"/>
      <c r="CR115" s="166"/>
      <c r="CS115" s="166"/>
      <c r="CU115" s="8"/>
    </row>
    <row r="116" ht="13.5" customHeight="1">
      <c r="S116" s="188"/>
      <c r="V116" s="184"/>
      <c r="W116" s="182"/>
      <c r="AI116" s="166"/>
      <c r="AJ116" s="166"/>
      <c r="AK116" s="166"/>
      <c r="AL116" s="166"/>
      <c r="AM116" s="166"/>
      <c r="AN116" s="166"/>
      <c r="AO116" s="166"/>
      <c r="AP116" s="166"/>
      <c r="AQ116" s="166"/>
      <c r="AR116" s="166"/>
      <c r="AS116" s="166"/>
      <c r="AT116" s="166"/>
      <c r="AU116" s="166"/>
      <c r="AV116" s="30"/>
      <c r="AW116" s="30"/>
      <c r="AX116" s="166"/>
      <c r="AY116" s="30"/>
      <c r="AZ116" s="30"/>
      <c r="BA116" s="30"/>
      <c r="BB116" s="166"/>
      <c r="BC116" s="166"/>
      <c r="BD116" s="166"/>
      <c r="BE116" s="166"/>
      <c r="BF116" s="166"/>
      <c r="BG116" s="166"/>
      <c r="BH116" s="166"/>
      <c r="BI116" s="166"/>
      <c r="BJ116" s="166"/>
      <c r="BK116" s="166"/>
      <c r="BL116" s="166"/>
      <c r="BM116" s="166"/>
      <c r="BN116" s="166"/>
      <c r="BO116" s="166"/>
      <c r="BP116" s="166"/>
      <c r="BQ116" s="166"/>
      <c r="BR116" s="166"/>
      <c r="BS116" s="166"/>
      <c r="BT116" s="166"/>
      <c r="BU116" s="166"/>
      <c r="BV116" s="175"/>
      <c r="BW116" s="175"/>
      <c r="BX116" s="175"/>
      <c r="BY116" s="175"/>
      <c r="BZ116" s="175"/>
      <c r="CA116" s="166"/>
      <c r="CB116" s="166"/>
      <c r="CC116" s="166"/>
      <c r="CD116" s="166"/>
      <c r="CE116" s="166"/>
      <c r="CF116" s="166"/>
      <c r="CG116" s="166"/>
      <c r="CH116" s="166"/>
      <c r="CI116" s="166"/>
      <c r="CJ116" s="166"/>
      <c r="CL116" s="189"/>
      <c r="CM116" s="178"/>
      <c r="CN116" s="178"/>
      <c r="CO116" s="166"/>
      <c r="CP116" s="166"/>
      <c r="CQ116" s="166"/>
      <c r="CR116" s="166"/>
      <c r="CS116" s="166"/>
      <c r="CU116" s="8"/>
    </row>
    <row r="117" ht="13.5" customHeight="1">
      <c r="S117" s="188"/>
      <c r="V117" s="184"/>
      <c r="W117" s="182"/>
      <c r="AI117" s="166"/>
      <c r="AJ117" s="166"/>
      <c r="AK117" s="166"/>
      <c r="AL117" s="166"/>
      <c r="AM117" s="166"/>
      <c r="AN117" s="166"/>
      <c r="AO117" s="166"/>
      <c r="AP117" s="166"/>
      <c r="AQ117" s="166"/>
      <c r="AR117" s="166"/>
      <c r="AS117" s="166"/>
      <c r="AT117" s="166"/>
      <c r="AU117" s="166"/>
      <c r="AV117" s="30"/>
      <c r="AW117" s="30"/>
      <c r="AX117" s="166"/>
      <c r="AY117" s="30"/>
      <c r="AZ117" s="30"/>
      <c r="BA117" s="30"/>
      <c r="BB117" s="166"/>
      <c r="BC117" s="166"/>
      <c r="BD117" s="166"/>
      <c r="BE117" s="166"/>
      <c r="BF117" s="166"/>
      <c r="BG117" s="166"/>
      <c r="BH117" s="166"/>
      <c r="BI117" s="166"/>
      <c r="BJ117" s="166"/>
      <c r="BK117" s="166"/>
      <c r="BL117" s="166"/>
      <c r="BM117" s="166"/>
      <c r="BN117" s="166"/>
      <c r="BO117" s="166"/>
      <c r="BP117" s="166"/>
      <c r="BQ117" s="166"/>
      <c r="BR117" s="166"/>
      <c r="BS117" s="166"/>
      <c r="BT117" s="166"/>
      <c r="BU117" s="166"/>
      <c r="BV117" s="175"/>
      <c r="BW117" s="175"/>
      <c r="BX117" s="175"/>
      <c r="BY117" s="175"/>
      <c r="BZ117" s="175"/>
      <c r="CA117" s="166"/>
      <c r="CB117" s="166"/>
      <c r="CC117" s="166"/>
      <c r="CD117" s="166"/>
      <c r="CE117" s="166"/>
      <c r="CF117" s="166"/>
      <c r="CG117" s="166"/>
      <c r="CH117" s="166"/>
      <c r="CI117" s="166"/>
      <c r="CJ117" s="166"/>
      <c r="CK117" s="166"/>
      <c r="CL117" s="189"/>
      <c r="CM117" s="178"/>
      <c r="CN117" s="166"/>
      <c r="CO117" s="166"/>
      <c r="CP117" s="166"/>
      <c r="CQ117" s="166"/>
      <c r="CR117" s="166"/>
      <c r="CS117" s="166"/>
      <c r="CU117" s="8"/>
    </row>
    <row r="118" ht="13.5" customHeight="1">
      <c r="S118" s="188"/>
      <c r="V118" s="184"/>
      <c r="W118" s="182"/>
      <c r="AI118" s="166"/>
      <c r="AJ118" s="166"/>
      <c r="AK118" s="166"/>
      <c r="AL118" s="166"/>
      <c r="AM118" s="166"/>
      <c r="AN118" s="166"/>
      <c r="AO118" s="166"/>
      <c r="AP118" s="166"/>
      <c r="AQ118" s="166"/>
      <c r="AR118" s="166"/>
      <c r="AS118" s="166"/>
      <c r="AT118" s="166"/>
      <c r="AU118" s="166"/>
      <c r="AV118" s="30"/>
      <c r="AW118" s="30"/>
      <c r="AX118" s="166"/>
      <c r="AY118" s="30"/>
      <c r="AZ118" s="30"/>
      <c r="BA118" s="30"/>
      <c r="BB118" s="166"/>
      <c r="BC118" s="166"/>
      <c r="BD118" s="166"/>
      <c r="BE118" s="166"/>
      <c r="BF118" s="166"/>
      <c r="BG118" s="166"/>
      <c r="BH118" s="166"/>
      <c r="BI118" s="166"/>
      <c r="BJ118" s="166"/>
      <c r="BK118" s="166"/>
      <c r="BL118" s="166"/>
      <c r="BM118" s="166"/>
      <c r="BN118" s="166"/>
      <c r="BO118" s="166"/>
      <c r="BP118" s="166"/>
      <c r="BQ118" s="166"/>
      <c r="BR118" s="166"/>
      <c r="BS118" s="166"/>
      <c r="BT118" s="166"/>
      <c r="BU118" s="166"/>
      <c r="BV118" s="175"/>
      <c r="BW118" s="175"/>
      <c r="BX118" s="175"/>
      <c r="BY118" s="175"/>
      <c r="BZ118" s="175"/>
      <c r="CA118" s="166"/>
      <c r="CB118" s="166"/>
      <c r="CC118" s="166"/>
      <c r="CD118" s="166"/>
      <c r="CE118" s="166"/>
      <c r="CF118" s="166"/>
      <c r="CG118" s="166"/>
      <c r="CH118" s="166"/>
      <c r="CI118" s="166"/>
      <c r="CJ118" s="166"/>
      <c r="CK118" s="167"/>
      <c r="CL118" s="185"/>
      <c r="CM118" s="167"/>
      <c r="CN118" s="166"/>
      <c r="CO118" s="166"/>
      <c r="CP118" s="166"/>
      <c r="CQ118" s="166"/>
      <c r="CR118" s="166"/>
      <c r="CS118" s="166"/>
      <c r="CU118" s="8"/>
    </row>
    <row r="119" ht="13.5" customHeight="1">
      <c r="S119" s="188"/>
      <c r="V119" s="184"/>
      <c r="W119" s="182"/>
      <c r="AI119" s="166"/>
      <c r="AJ119" s="166"/>
      <c r="AK119" s="166"/>
      <c r="AL119" s="166"/>
      <c r="AM119" s="166"/>
      <c r="AN119" s="166"/>
      <c r="AO119" s="166"/>
      <c r="AP119" s="166"/>
      <c r="AQ119" s="166"/>
      <c r="AR119" s="166"/>
      <c r="AS119" s="166"/>
      <c r="AT119" s="166"/>
      <c r="AU119" s="166"/>
      <c r="AV119" s="30"/>
      <c r="AW119" s="30"/>
      <c r="AX119" s="166"/>
      <c r="AY119" s="30"/>
      <c r="AZ119" s="30"/>
      <c r="BA119" s="30"/>
      <c r="BB119" s="166"/>
      <c r="BC119" s="166"/>
      <c r="BD119" s="166"/>
      <c r="BE119" s="166"/>
      <c r="BF119" s="166"/>
      <c r="BG119" s="166"/>
      <c r="BH119" s="166"/>
      <c r="BI119" s="166"/>
      <c r="BJ119" s="166"/>
      <c r="BK119" s="166"/>
      <c r="BL119" s="166"/>
      <c r="BM119" s="166"/>
      <c r="BN119" s="166"/>
      <c r="BO119" s="166"/>
      <c r="BP119" s="166"/>
      <c r="BQ119" s="166"/>
      <c r="BR119" s="166"/>
      <c r="BS119" s="166"/>
      <c r="BT119" s="166"/>
      <c r="BU119" s="166"/>
      <c r="BV119" s="175"/>
      <c r="BW119" s="175"/>
      <c r="BX119" s="175"/>
      <c r="BY119" s="175"/>
      <c r="BZ119" s="175"/>
      <c r="CA119" s="166"/>
      <c r="CB119" s="166"/>
      <c r="CC119" s="166"/>
      <c r="CD119" s="166"/>
      <c r="CE119" s="166"/>
      <c r="CF119" s="166"/>
      <c r="CG119" s="166"/>
      <c r="CH119" s="166"/>
      <c r="CI119" s="166"/>
      <c r="CJ119" s="166"/>
      <c r="CK119" s="166"/>
      <c r="CL119" s="190"/>
      <c r="CM119" s="190"/>
      <c r="CN119" s="178"/>
      <c r="CO119" s="166"/>
      <c r="CP119" s="166"/>
      <c r="CQ119" s="166"/>
      <c r="CR119" s="166"/>
      <c r="CS119" s="166"/>
      <c r="CU119" s="8"/>
    </row>
    <row r="120" ht="13.5" customHeight="1">
      <c r="S120" s="188"/>
      <c r="V120" s="184"/>
      <c r="W120" s="172"/>
      <c r="AI120" s="166"/>
      <c r="AJ120" s="166"/>
      <c r="AK120" s="166"/>
      <c r="AL120" s="166"/>
      <c r="AM120" s="166"/>
      <c r="AN120" s="166"/>
      <c r="AO120" s="166"/>
      <c r="AP120" s="166"/>
      <c r="AQ120" s="166"/>
      <c r="AR120" s="166"/>
      <c r="AS120" s="166"/>
      <c r="AT120" s="166"/>
      <c r="AU120" s="166"/>
      <c r="AV120" s="30"/>
      <c r="AW120" s="30"/>
      <c r="AX120" s="166"/>
      <c r="AY120" s="30"/>
      <c r="AZ120" s="30"/>
      <c r="BA120" s="30"/>
      <c r="BB120" s="166"/>
      <c r="BC120" s="166"/>
      <c r="BD120" s="166"/>
      <c r="BE120" s="166"/>
      <c r="BF120" s="166"/>
      <c r="BG120" s="166"/>
      <c r="BH120" s="166"/>
      <c r="BI120" s="166"/>
      <c r="BJ120" s="166"/>
      <c r="BK120" s="166"/>
      <c r="BL120" s="166"/>
      <c r="BM120" s="166"/>
      <c r="BN120" s="166"/>
      <c r="BO120" s="166"/>
      <c r="BP120" s="166"/>
      <c r="BQ120" s="166"/>
      <c r="BR120" s="166"/>
      <c r="BS120" s="166"/>
      <c r="BT120" s="166"/>
      <c r="BU120" s="166"/>
      <c r="BV120" s="175"/>
      <c r="BW120" s="175"/>
      <c r="BX120" s="175"/>
      <c r="BY120" s="175"/>
      <c r="BZ120" s="175"/>
      <c r="CA120" s="166"/>
      <c r="CB120" s="166"/>
      <c r="CC120" s="166"/>
      <c r="CD120" s="166"/>
      <c r="CE120" s="166"/>
      <c r="CF120" s="166"/>
      <c r="CG120" s="166"/>
      <c r="CH120" s="166"/>
      <c r="CI120" s="166"/>
      <c r="CJ120" s="166"/>
      <c r="CK120" s="166"/>
      <c r="CL120" s="190"/>
      <c r="CM120" s="190"/>
      <c r="CN120" s="178"/>
      <c r="CO120" s="166"/>
      <c r="CP120" s="166"/>
      <c r="CQ120" s="166"/>
      <c r="CR120" s="166"/>
      <c r="CS120" s="166"/>
      <c r="CU120" s="8"/>
    </row>
    <row r="121" ht="13.5" customHeight="1">
      <c r="S121" s="188"/>
      <c r="V121" s="163"/>
      <c r="W121" s="172"/>
      <c r="AI121" s="166"/>
      <c r="AJ121" s="166"/>
      <c r="AK121" s="166"/>
      <c r="AL121" s="166"/>
      <c r="AM121" s="166"/>
      <c r="AN121" s="166"/>
      <c r="AO121" s="166"/>
      <c r="AP121" s="166"/>
      <c r="AQ121" s="166"/>
      <c r="AR121" s="166"/>
      <c r="AS121" s="166"/>
      <c r="AT121" s="166"/>
      <c r="AU121" s="166"/>
      <c r="AV121" s="30"/>
      <c r="AW121" s="30"/>
      <c r="AX121" s="166"/>
      <c r="AY121" s="30"/>
      <c r="AZ121" s="30"/>
      <c r="BA121" s="30"/>
      <c r="BB121" s="166"/>
      <c r="BC121" s="166"/>
      <c r="BD121" s="166"/>
      <c r="BE121" s="166"/>
      <c r="BF121" s="166"/>
      <c r="BG121" s="166"/>
      <c r="BH121" s="166"/>
      <c r="BI121" s="166"/>
      <c r="BJ121" s="166"/>
      <c r="BK121" s="166"/>
      <c r="BL121" s="166"/>
      <c r="BM121" s="166"/>
      <c r="BN121" s="166"/>
      <c r="BO121" s="166"/>
      <c r="BP121" s="166"/>
      <c r="BQ121" s="166"/>
      <c r="BR121" s="166"/>
      <c r="BS121" s="166"/>
      <c r="BT121" s="166"/>
      <c r="BU121" s="166"/>
      <c r="BV121" s="175"/>
      <c r="BW121" s="175"/>
      <c r="BX121" s="175"/>
      <c r="BY121" s="175"/>
      <c r="BZ121" s="175"/>
      <c r="CA121" s="166"/>
      <c r="CB121" s="166"/>
      <c r="CC121" s="166"/>
      <c r="CD121" s="166"/>
      <c r="CE121" s="166"/>
      <c r="CF121" s="166"/>
      <c r="CG121" s="166"/>
      <c r="CH121" s="166"/>
      <c r="CI121" s="166"/>
      <c r="CJ121" s="166"/>
      <c r="CK121" s="166"/>
      <c r="CL121" s="190"/>
      <c r="CM121" s="190"/>
      <c r="CN121" s="178"/>
      <c r="CO121" s="166"/>
      <c r="CP121" s="166"/>
      <c r="CQ121" s="166"/>
      <c r="CR121" s="166"/>
      <c r="CS121" s="166"/>
      <c r="CU121" s="8"/>
    </row>
    <row r="122" ht="13.5" customHeight="1">
      <c r="S122" s="188"/>
      <c r="V122" s="163"/>
      <c r="W122" s="172"/>
      <c r="AI122" s="166"/>
      <c r="AJ122" s="166"/>
      <c r="AK122" s="166"/>
      <c r="AL122" s="166"/>
      <c r="AM122" s="166"/>
      <c r="AN122" s="166"/>
      <c r="AO122" s="166"/>
      <c r="AP122" s="166"/>
      <c r="AQ122" s="166"/>
      <c r="AR122" s="166"/>
      <c r="AS122" s="166"/>
      <c r="AT122" s="166"/>
      <c r="AU122" s="166"/>
      <c r="AV122" s="30"/>
      <c r="AW122" s="30"/>
      <c r="AX122" s="166"/>
      <c r="AY122" s="30"/>
      <c r="AZ122" s="30"/>
      <c r="BA122" s="30"/>
      <c r="BB122" s="166"/>
      <c r="BC122" s="166"/>
      <c r="BD122" s="166"/>
      <c r="BE122" s="166"/>
      <c r="BF122" s="166"/>
      <c r="BG122" s="166"/>
      <c r="BH122" s="166"/>
      <c r="BI122" s="166"/>
      <c r="BJ122" s="166"/>
      <c r="BK122" s="166"/>
      <c r="BL122" s="166"/>
      <c r="BM122" s="166"/>
      <c r="BN122" s="166"/>
      <c r="BO122" s="166"/>
      <c r="BP122" s="166"/>
      <c r="BQ122" s="166"/>
      <c r="BR122" s="166"/>
      <c r="BS122" s="166"/>
      <c r="BT122" s="166"/>
      <c r="BU122" s="166"/>
      <c r="BV122" s="175"/>
      <c r="BW122" s="175"/>
      <c r="BX122" s="175"/>
      <c r="BY122" s="175"/>
      <c r="BZ122" s="175"/>
      <c r="CA122" s="166"/>
      <c r="CB122" s="166"/>
      <c r="CC122" s="166"/>
      <c r="CD122" s="166"/>
      <c r="CE122" s="166"/>
      <c r="CF122" s="166"/>
      <c r="CG122" s="166"/>
      <c r="CH122" s="166"/>
      <c r="CI122" s="166"/>
      <c r="CJ122" s="166"/>
      <c r="CK122" s="166"/>
      <c r="CL122" s="190"/>
      <c r="CM122" s="190"/>
      <c r="CN122" s="178"/>
      <c r="CO122" s="166"/>
      <c r="CP122" s="166"/>
      <c r="CQ122" s="166"/>
      <c r="CR122" s="166"/>
      <c r="CS122" s="166"/>
      <c r="CU122" s="8"/>
    </row>
    <row r="123" ht="13.5" customHeight="1">
      <c r="S123" s="188"/>
      <c r="V123" s="163"/>
      <c r="W123" s="172"/>
      <c r="AI123" s="166"/>
      <c r="AJ123" s="166"/>
      <c r="AK123" s="166"/>
      <c r="AL123" s="166"/>
      <c r="AM123" s="166"/>
      <c r="AN123" s="166"/>
      <c r="AO123" s="166"/>
      <c r="AP123" s="166"/>
      <c r="AQ123" s="166"/>
      <c r="AR123" s="166"/>
      <c r="AS123" s="166"/>
      <c r="AT123" s="166"/>
      <c r="AU123" s="166"/>
      <c r="AV123" s="30"/>
      <c r="AW123" s="30"/>
      <c r="AX123" s="166"/>
      <c r="AY123" s="30"/>
      <c r="AZ123" s="30"/>
      <c r="BA123" s="30"/>
      <c r="BB123" s="166"/>
      <c r="BC123" s="166"/>
      <c r="BD123" s="166"/>
      <c r="BE123" s="166"/>
      <c r="BF123" s="166"/>
      <c r="BG123" s="166"/>
      <c r="BH123" s="166"/>
      <c r="BI123" s="166"/>
      <c r="BJ123" s="166"/>
      <c r="BK123" s="166"/>
      <c r="BL123" s="166"/>
      <c r="BM123" s="166"/>
      <c r="BN123" s="166"/>
      <c r="BO123" s="166"/>
      <c r="BP123" s="166"/>
      <c r="BQ123" s="166"/>
      <c r="BR123" s="166"/>
      <c r="BS123" s="166"/>
      <c r="BT123" s="166"/>
      <c r="BU123" s="166"/>
      <c r="BV123" s="175"/>
      <c r="BW123" s="175"/>
      <c r="BX123" s="175"/>
      <c r="BY123" s="175"/>
      <c r="BZ123" s="175"/>
      <c r="CA123" s="166"/>
      <c r="CB123" s="166"/>
      <c r="CC123" s="166"/>
      <c r="CD123" s="166"/>
      <c r="CE123" s="166"/>
      <c r="CF123" s="166"/>
      <c r="CG123" s="166"/>
      <c r="CH123" s="166"/>
      <c r="CI123" s="166"/>
      <c r="CJ123" s="166"/>
      <c r="CK123" s="166"/>
      <c r="CL123" s="190"/>
      <c r="CM123" s="190"/>
      <c r="CN123" s="178"/>
      <c r="CO123" s="166"/>
      <c r="CP123" s="166"/>
      <c r="CQ123" s="166"/>
      <c r="CR123" s="166"/>
      <c r="CS123" s="166"/>
      <c r="CU123" s="8"/>
    </row>
    <row r="124" ht="13.5" customHeight="1">
      <c r="S124" s="188"/>
      <c r="V124" s="163"/>
      <c r="W124" s="172"/>
      <c r="AI124" s="166"/>
      <c r="AJ124" s="166"/>
      <c r="AK124" s="166"/>
      <c r="AL124" s="166"/>
      <c r="AM124" s="166"/>
      <c r="AN124" s="166"/>
      <c r="AO124" s="166"/>
      <c r="AP124" s="166"/>
      <c r="AQ124" s="166"/>
      <c r="AR124" s="166"/>
      <c r="AS124" s="166"/>
      <c r="AT124" s="166"/>
      <c r="AU124" s="166"/>
      <c r="AV124" s="30"/>
      <c r="AW124" s="30"/>
      <c r="AX124" s="166"/>
      <c r="AY124" s="30"/>
      <c r="AZ124" s="30"/>
      <c r="BA124" s="30"/>
      <c r="BB124" s="166"/>
      <c r="BC124" s="166"/>
      <c r="BD124" s="166"/>
      <c r="BE124" s="166"/>
      <c r="BF124" s="166"/>
      <c r="BG124" s="166"/>
      <c r="BH124" s="166"/>
      <c r="BI124" s="166"/>
      <c r="BJ124" s="166"/>
      <c r="BK124" s="166"/>
      <c r="BL124" s="166"/>
      <c r="BM124" s="166"/>
      <c r="BN124" s="166"/>
      <c r="BO124" s="166"/>
      <c r="BP124" s="166"/>
      <c r="BQ124" s="166"/>
      <c r="BR124" s="166"/>
      <c r="BS124" s="166"/>
      <c r="BT124" s="166"/>
      <c r="BU124" s="166"/>
      <c r="BV124" s="166"/>
      <c r="BW124" s="166"/>
      <c r="BX124" s="166"/>
      <c r="BY124" s="166"/>
      <c r="BZ124" s="166"/>
      <c r="CA124" s="166"/>
      <c r="CB124" s="166"/>
      <c r="CC124" s="166"/>
      <c r="CD124" s="166"/>
      <c r="CE124" s="166"/>
      <c r="CF124" s="166"/>
      <c r="CG124" s="166"/>
      <c r="CH124" s="166"/>
      <c r="CI124" s="166"/>
      <c r="CJ124" s="166"/>
      <c r="CK124" s="166"/>
      <c r="CL124" s="190"/>
      <c r="CM124" s="190"/>
      <c r="CN124" s="178"/>
      <c r="CO124" s="166"/>
      <c r="CP124" s="166"/>
      <c r="CQ124" s="166"/>
      <c r="CR124" s="166"/>
      <c r="CS124" s="166"/>
      <c r="CU124" s="8"/>
    </row>
    <row r="125" ht="13.5" customHeight="1">
      <c r="S125" s="188"/>
      <c r="V125" s="163"/>
      <c r="W125" s="172"/>
      <c r="AI125" s="166"/>
      <c r="AJ125" s="166"/>
      <c r="AK125" s="166"/>
      <c r="AL125" s="166"/>
      <c r="AM125" s="166"/>
      <c r="AN125" s="166"/>
      <c r="AO125" s="166"/>
      <c r="AP125" s="166"/>
      <c r="AQ125" s="166"/>
      <c r="AR125" s="166"/>
      <c r="AS125" s="166"/>
      <c r="AT125" s="166"/>
      <c r="AU125" s="166"/>
      <c r="AV125" s="30"/>
      <c r="AW125" s="30"/>
      <c r="AX125" s="166"/>
      <c r="AY125" s="30"/>
      <c r="AZ125" s="30"/>
      <c r="BA125" s="30"/>
      <c r="BB125" s="166"/>
      <c r="BC125" s="166"/>
      <c r="BD125" s="166"/>
      <c r="BE125" s="166"/>
      <c r="BF125" s="166"/>
      <c r="BG125" s="166"/>
      <c r="BH125" s="166"/>
      <c r="BI125" s="166"/>
      <c r="BJ125" s="166"/>
      <c r="BK125" s="166"/>
      <c r="BL125" s="166"/>
      <c r="BM125" s="166"/>
      <c r="BN125" s="166"/>
      <c r="BO125" s="166"/>
      <c r="BP125" s="166"/>
      <c r="BQ125" s="166"/>
      <c r="BR125" s="166"/>
      <c r="BS125" s="166"/>
      <c r="BT125" s="166"/>
      <c r="BU125" s="166"/>
      <c r="BV125" s="166"/>
      <c r="BW125" s="166"/>
      <c r="BX125" s="166"/>
      <c r="BY125" s="166"/>
      <c r="BZ125" s="166"/>
      <c r="CA125" s="166"/>
      <c r="CB125" s="166"/>
      <c r="CC125" s="166"/>
      <c r="CD125" s="166"/>
      <c r="CE125" s="166"/>
      <c r="CF125" s="166"/>
      <c r="CG125" s="166"/>
      <c r="CH125" s="166"/>
      <c r="CI125" s="166"/>
      <c r="CJ125" s="166"/>
      <c r="CK125" s="166"/>
      <c r="CL125" s="190"/>
      <c r="CM125" s="190"/>
      <c r="CN125" s="178"/>
      <c r="CO125" s="166"/>
      <c r="CP125" s="166"/>
      <c r="CQ125" s="166"/>
      <c r="CR125" s="166"/>
      <c r="CS125" s="166"/>
      <c r="CU125" s="8"/>
    </row>
    <row r="126" ht="13.5" customHeight="1">
      <c r="S126" s="188"/>
      <c r="V126" s="163"/>
      <c r="W126" s="172"/>
      <c r="AI126" s="166"/>
      <c r="AJ126" s="166"/>
      <c r="AK126" s="166"/>
      <c r="AL126" s="166"/>
      <c r="AM126" s="166"/>
      <c r="AN126" s="166"/>
      <c r="AO126" s="166"/>
      <c r="AP126" s="166"/>
      <c r="AQ126" s="166"/>
      <c r="AR126" s="166"/>
      <c r="AS126" s="166"/>
      <c r="AT126" s="166"/>
      <c r="AU126" s="166"/>
      <c r="AV126" s="30"/>
      <c r="AW126" s="30"/>
      <c r="AX126" s="166"/>
      <c r="AY126" s="30"/>
      <c r="AZ126" s="30"/>
      <c r="BA126" s="30"/>
      <c r="BB126" s="166"/>
      <c r="BC126" s="166"/>
      <c r="BD126" s="166"/>
      <c r="BE126" s="166"/>
      <c r="BF126" s="166"/>
      <c r="BG126" s="166"/>
      <c r="BH126" s="166"/>
      <c r="BI126" s="166"/>
      <c r="BJ126" s="166"/>
      <c r="BK126" s="166"/>
      <c r="BL126" s="166"/>
      <c r="BM126" s="166"/>
      <c r="BN126" s="166"/>
      <c r="BO126" s="166"/>
      <c r="BP126" s="166"/>
      <c r="BQ126" s="166"/>
      <c r="BR126" s="166"/>
      <c r="BS126" s="166"/>
      <c r="BT126" s="166"/>
      <c r="BU126" s="166"/>
      <c r="BV126" s="166"/>
      <c r="BW126" s="166"/>
      <c r="BX126" s="166"/>
      <c r="BY126" s="166"/>
      <c r="BZ126" s="166"/>
      <c r="CA126" s="166"/>
      <c r="CB126" s="166"/>
      <c r="CC126" s="166"/>
      <c r="CD126" s="166"/>
      <c r="CE126" s="166"/>
      <c r="CF126" s="166"/>
      <c r="CG126" s="166"/>
      <c r="CH126" s="166"/>
      <c r="CI126" s="166"/>
      <c r="CJ126" s="166"/>
      <c r="CK126" s="166"/>
      <c r="CL126" s="190"/>
      <c r="CM126" s="190"/>
      <c r="CN126" s="178"/>
      <c r="CO126" s="166"/>
      <c r="CP126" s="166"/>
      <c r="CQ126" s="166"/>
      <c r="CR126" s="166"/>
      <c r="CS126" s="166"/>
      <c r="CU126" s="8"/>
    </row>
    <row r="127" ht="13.5" customHeight="1">
      <c r="A127" s="191" t="s">
        <v>3</v>
      </c>
      <c r="B127" s="191" t="s">
        <v>189</v>
      </c>
      <c r="C127" s="191"/>
      <c r="D127" s="191"/>
      <c r="E127" s="191"/>
      <c r="F127" s="191"/>
      <c r="S127" s="188"/>
      <c r="V127" s="163"/>
      <c r="W127" s="172"/>
      <c r="AI127" s="166"/>
      <c r="AJ127" s="166"/>
      <c r="AK127" s="166"/>
      <c r="AL127" s="166"/>
      <c r="AM127" s="166"/>
      <c r="AN127" s="166"/>
      <c r="AO127" s="166"/>
      <c r="AP127" s="166"/>
      <c r="AQ127" s="166"/>
      <c r="AR127" s="166"/>
      <c r="AS127" s="166"/>
      <c r="AT127" s="166"/>
      <c r="AV127" s="30"/>
      <c r="AW127" s="30"/>
      <c r="AY127" s="192"/>
      <c r="AZ127" s="30"/>
      <c r="BA127" s="30"/>
      <c r="CK127" s="167"/>
      <c r="CL127" s="193"/>
      <c r="CM127" s="190"/>
      <c r="CN127" s="178"/>
      <c r="CU127" s="194"/>
    </row>
    <row r="128" ht="13.5" customHeight="1">
      <c r="D128" s="125"/>
      <c r="E128" s="195"/>
      <c r="F128" s="195"/>
      <c r="V128" s="163"/>
      <c r="W128" s="172"/>
      <c r="AI128" s="166"/>
      <c r="AJ128" s="166"/>
      <c r="AK128" s="166"/>
      <c r="AL128" s="166"/>
      <c r="AM128" s="166"/>
      <c r="AN128" s="166"/>
      <c r="AO128" s="166"/>
      <c r="AP128" s="166"/>
      <c r="AQ128" s="166"/>
      <c r="AR128" s="166"/>
      <c r="AS128" s="166"/>
      <c r="AT128" s="166"/>
      <c r="AV128" s="30"/>
      <c r="AW128" s="196"/>
      <c r="AY128" s="197"/>
      <c r="BY128" s="45"/>
      <c r="CK128" s="166"/>
      <c r="CL128" s="189"/>
      <c r="CM128" s="174"/>
      <c r="CU128" s="194"/>
    </row>
    <row r="129" ht="13.5" customHeight="1">
      <c r="CK129" s="166"/>
      <c r="CL129" s="178"/>
      <c r="CU129" s="194"/>
    </row>
    <row r="130" ht="13.5" customHeight="1">
      <c r="CK130" s="198"/>
      <c r="CL130" s="185"/>
      <c r="CU130" s="194"/>
    </row>
    <row r="131" ht="13.5" customHeight="1">
      <c r="AV131" s="165"/>
      <c r="CK131" s="166"/>
      <c r="CL131" s="178"/>
      <c r="CU131" s="194"/>
    </row>
    <row r="132" ht="13.5" customHeight="1">
      <c r="CK132" s="166"/>
      <c r="CL132" s="178"/>
      <c r="CU132" s="194"/>
    </row>
    <row r="133" ht="13.5" customHeight="1">
      <c r="BG133" s="133"/>
      <c r="CU133" s="194"/>
    </row>
    <row r="134" ht="13.5" customHeight="1">
      <c r="CU134" s="194"/>
    </row>
    <row r="135" ht="13.5" customHeight="1">
      <c r="CU135" s="194"/>
    </row>
    <row r="136" ht="13.5" customHeight="1">
      <c r="CU136" s="194"/>
    </row>
    <row r="137" ht="13.5" customHeight="1">
      <c r="CU137" s="194"/>
    </row>
    <row r="138" ht="13.5" customHeight="1">
      <c r="CU138" s="194"/>
    </row>
    <row r="139" ht="13.5" customHeight="1">
      <c r="CU139" s="194"/>
    </row>
    <row r="140" ht="13.5" customHeight="1">
      <c r="CU140" s="194"/>
    </row>
    <row r="141" ht="13.5" customHeight="1">
      <c r="CU141" s="194"/>
    </row>
    <row r="142" ht="13.5" customHeight="1">
      <c r="CU142" s="194"/>
    </row>
    <row r="143" ht="13.5" customHeight="1">
      <c r="CU143" s="194"/>
    </row>
    <row r="144" ht="13.5" customHeight="1">
      <c r="CU144" s="194"/>
    </row>
    <row r="145" ht="13.5" customHeight="1">
      <c r="CU145" s="194"/>
    </row>
    <row r="146" ht="13.5" customHeight="1">
      <c r="CU146" s="194"/>
    </row>
    <row r="147" ht="13.5" customHeight="1">
      <c r="CU147" s="194"/>
    </row>
    <row r="148" ht="13.5" customHeight="1">
      <c r="CU148" s="194"/>
    </row>
    <row r="149" ht="13.5" customHeight="1">
      <c r="CU149" s="194"/>
    </row>
    <row r="150" ht="13.5" customHeight="1">
      <c r="CU150" s="194"/>
    </row>
    <row r="151" ht="13.5" customHeight="1">
      <c r="CU151" s="194"/>
    </row>
    <row r="152" ht="13.5" customHeight="1">
      <c r="CU152" s="194"/>
    </row>
    <row r="153" ht="13.5" customHeight="1">
      <c r="CU153" s="194"/>
    </row>
    <row r="154" ht="13.5" customHeight="1">
      <c r="CU154" s="194"/>
    </row>
    <row r="155" ht="13.5" customHeight="1">
      <c r="CU155" s="194"/>
    </row>
    <row r="156" ht="13.5" customHeight="1">
      <c r="CU156" s="194"/>
    </row>
    <row r="157" ht="13.5" customHeight="1">
      <c r="CU157" s="194"/>
    </row>
    <row r="158" ht="13.5" customHeight="1">
      <c r="CU158" s="194"/>
    </row>
    <row r="159" ht="13.5" customHeight="1">
      <c r="CU159" s="194"/>
    </row>
    <row r="160" ht="13.5" customHeight="1">
      <c r="CU160" s="194"/>
    </row>
    <row r="161" ht="13.5" customHeight="1">
      <c r="CU161" s="194"/>
    </row>
    <row r="162" ht="13.5" customHeight="1">
      <c r="CU162" s="194"/>
    </row>
    <row r="163" ht="13.5" customHeight="1">
      <c r="CU163" s="194"/>
    </row>
    <row r="164" ht="13.5" customHeight="1">
      <c r="CU164" s="194"/>
    </row>
    <row r="165" ht="13.5" customHeight="1">
      <c r="CU165" s="194"/>
    </row>
    <row r="166" ht="13.5" customHeight="1">
      <c r="CU166" s="194"/>
    </row>
    <row r="167" ht="13.5" customHeight="1">
      <c r="CU167" s="194"/>
    </row>
    <row r="168" ht="13.5" customHeight="1">
      <c r="CU168" s="194"/>
    </row>
    <row r="169" ht="13.5" customHeight="1">
      <c r="CU169" s="194"/>
    </row>
    <row r="170" ht="13.5" customHeight="1">
      <c r="CU170" s="194"/>
    </row>
    <row r="171" ht="13.5" customHeight="1">
      <c r="CU171" s="194"/>
    </row>
    <row r="172" ht="13.5" customHeight="1">
      <c r="CU172" s="194"/>
    </row>
    <row r="173" ht="13.5" customHeight="1">
      <c r="CU173" s="194"/>
    </row>
    <row r="174" ht="13.5" customHeight="1">
      <c r="CU174" s="194"/>
    </row>
    <row r="175" ht="13.5" customHeight="1">
      <c r="CU175" s="194"/>
    </row>
    <row r="176" ht="13.5" customHeight="1">
      <c r="CU176" s="194"/>
    </row>
    <row r="177" ht="13.5" customHeight="1">
      <c r="CU177" s="194"/>
    </row>
    <row r="178" ht="13.5" customHeight="1">
      <c r="CU178" s="194"/>
    </row>
    <row r="179" ht="13.5" customHeight="1">
      <c r="CU179" s="194"/>
    </row>
    <row r="180" ht="13.5" customHeight="1">
      <c r="CU180" s="194"/>
    </row>
    <row r="181" ht="13.5" customHeight="1">
      <c r="CU181" s="194"/>
    </row>
    <row r="182" ht="13.5" customHeight="1">
      <c r="CU182" s="194"/>
    </row>
    <row r="183" ht="13.5" customHeight="1">
      <c r="CU183" s="194"/>
    </row>
    <row r="184" ht="13.5" customHeight="1">
      <c r="CU184" s="194"/>
    </row>
    <row r="185" ht="13.5" customHeight="1">
      <c r="CU185" s="194"/>
    </row>
    <row r="186" ht="13.5" customHeight="1">
      <c r="CU186" s="194"/>
    </row>
    <row r="187" ht="13.5" customHeight="1">
      <c r="CU187" s="194"/>
    </row>
    <row r="188" ht="13.5" customHeight="1">
      <c r="CU188" s="194"/>
    </row>
    <row r="189" ht="13.5" customHeight="1">
      <c r="CU189" s="194"/>
    </row>
    <row r="190" ht="13.5" customHeight="1">
      <c r="CU190" s="194"/>
    </row>
    <row r="191" ht="13.5" customHeight="1">
      <c r="CU191" s="194"/>
    </row>
    <row r="192" ht="13.5" customHeight="1">
      <c r="CU192" s="194"/>
    </row>
    <row r="193" ht="13.5" customHeight="1">
      <c r="CU193" s="194"/>
    </row>
    <row r="194" ht="13.5" customHeight="1">
      <c r="CU194" s="194"/>
    </row>
    <row r="195" ht="13.5" customHeight="1">
      <c r="CU195" s="194"/>
    </row>
    <row r="196" ht="13.5" customHeight="1">
      <c r="CU196" s="194"/>
    </row>
    <row r="197" ht="13.5" customHeight="1">
      <c r="CU197" s="194"/>
    </row>
    <row r="198" ht="13.5" customHeight="1">
      <c r="CU198" s="194"/>
    </row>
    <row r="199" ht="13.5" customHeight="1">
      <c r="CU199" s="194"/>
    </row>
    <row r="200" ht="13.5" customHeight="1">
      <c r="CU200" s="194"/>
    </row>
    <row r="201" ht="13.5" customHeight="1">
      <c r="CU201" s="194"/>
    </row>
    <row r="202" ht="13.5" customHeight="1">
      <c r="CU202" s="194"/>
    </row>
    <row r="203" ht="13.5" customHeight="1">
      <c r="CU203" s="194"/>
    </row>
    <row r="204" ht="13.5" customHeight="1">
      <c r="CU204" s="194"/>
    </row>
    <row r="205" ht="13.5" customHeight="1">
      <c r="CU205" s="194"/>
    </row>
    <row r="206" ht="13.5" customHeight="1">
      <c r="CU206" s="194"/>
    </row>
    <row r="207" ht="13.5" customHeight="1">
      <c r="CU207" s="194"/>
    </row>
    <row r="208" ht="13.5" customHeight="1">
      <c r="CU208" s="194"/>
    </row>
    <row r="209" ht="13.5" customHeight="1">
      <c r="CU209" s="194"/>
    </row>
    <row r="210" ht="13.5" customHeight="1">
      <c r="CU210" s="194"/>
    </row>
    <row r="211" ht="13.5" customHeight="1">
      <c r="CU211" s="194"/>
    </row>
    <row r="212" ht="13.5" customHeight="1">
      <c r="CU212" s="194"/>
    </row>
    <row r="213" ht="13.5" customHeight="1">
      <c r="CU213" s="194"/>
    </row>
    <row r="214" ht="13.5" customHeight="1">
      <c r="CU214" s="194"/>
    </row>
    <row r="215" ht="13.5" customHeight="1">
      <c r="CU215" s="194"/>
    </row>
    <row r="216" ht="13.5" customHeight="1">
      <c r="CU216" s="194"/>
    </row>
    <row r="217" ht="13.5" customHeight="1">
      <c r="CU217" s="194"/>
    </row>
    <row r="218" ht="13.5" customHeight="1">
      <c r="CU218" s="194"/>
    </row>
    <row r="219" ht="13.5" customHeight="1">
      <c r="CU219" s="194"/>
    </row>
    <row r="220" ht="13.5" customHeight="1">
      <c r="CU220" s="194"/>
    </row>
    <row r="221" ht="13.5" customHeight="1">
      <c r="CU221" s="194"/>
    </row>
    <row r="222" ht="13.5" customHeight="1">
      <c r="CU222" s="194"/>
    </row>
    <row r="223" ht="13.5" customHeight="1">
      <c r="CU223" s="194"/>
    </row>
    <row r="224" ht="13.5" customHeight="1">
      <c r="CU224" s="194"/>
    </row>
    <row r="225" ht="13.5" customHeight="1">
      <c r="CU225" s="194"/>
    </row>
    <row r="226" ht="13.5" customHeight="1">
      <c r="CU226" s="194"/>
    </row>
    <row r="227" ht="13.5" customHeight="1">
      <c r="CU227" s="194"/>
    </row>
    <row r="228" ht="13.5" customHeight="1">
      <c r="CU228" s="194"/>
    </row>
    <row r="229" ht="13.5" customHeight="1">
      <c r="CU229" s="194"/>
    </row>
    <row r="230" ht="13.5" customHeight="1">
      <c r="CU230" s="194"/>
    </row>
    <row r="231" ht="13.5" customHeight="1">
      <c r="CU231" s="194"/>
    </row>
    <row r="232" ht="13.5" customHeight="1">
      <c r="CU232" s="194"/>
    </row>
    <row r="233" ht="13.5" customHeight="1">
      <c r="CU233" s="194"/>
    </row>
    <row r="234" ht="13.5" customHeight="1">
      <c r="CU234" s="194"/>
    </row>
    <row r="235" ht="13.5" customHeight="1">
      <c r="CU235" s="194"/>
    </row>
    <row r="236" ht="13.5" customHeight="1">
      <c r="CU236" s="194"/>
    </row>
    <row r="237" ht="13.5" customHeight="1">
      <c r="CU237" s="194"/>
    </row>
    <row r="238" ht="13.5" customHeight="1">
      <c r="CU238" s="194"/>
    </row>
    <row r="239" ht="13.5" customHeight="1">
      <c r="CU239" s="194"/>
    </row>
    <row r="240" ht="13.5" customHeight="1">
      <c r="CU240" s="194"/>
    </row>
    <row r="241" ht="13.5" customHeight="1">
      <c r="CU241" s="194"/>
    </row>
    <row r="242" ht="13.5" customHeight="1">
      <c r="CU242" s="194"/>
    </row>
    <row r="243" ht="13.5" customHeight="1">
      <c r="CU243" s="194"/>
    </row>
    <row r="244" ht="13.5" customHeight="1">
      <c r="CU244" s="194"/>
    </row>
    <row r="245" ht="13.5" customHeight="1">
      <c r="CU245" s="194"/>
    </row>
    <row r="246" ht="13.5" customHeight="1">
      <c r="CU246" s="194"/>
    </row>
    <row r="247" ht="13.5" customHeight="1">
      <c r="CU247" s="194"/>
    </row>
    <row r="248" ht="13.5" customHeight="1">
      <c r="CU248" s="194"/>
    </row>
    <row r="249" ht="13.5" customHeight="1">
      <c r="CU249" s="194"/>
    </row>
    <row r="250" ht="13.5" customHeight="1">
      <c r="CU250" s="194"/>
    </row>
    <row r="251" ht="13.5" customHeight="1">
      <c r="CU251" s="194"/>
    </row>
    <row r="252" ht="13.5" customHeight="1">
      <c r="CU252" s="194"/>
    </row>
    <row r="253" ht="13.5" customHeight="1">
      <c r="CU253" s="194"/>
    </row>
    <row r="254" ht="13.5" customHeight="1">
      <c r="CU254" s="194"/>
    </row>
    <row r="255" ht="13.5" customHeight="1">
      <c r="CU255" s="194"/>
    </row>
    <row r="256" ht="13.5" customHeight="1">
      <c r="CU256" s="194"/>
    </row>
    <row r="257" ht="13.5" customHeight="1">
      <c r="CU257" s="194"/>
    </row>
    <row r="258" ht="13.5" customHeight="1">
      <c r="CU258" s="194"/>
    </row>
    <row r="259" ht="13.5" customHeight="1">
      <c r="CU259" s="194"/>
    </row>
    <row r="260" ht="13.5" customHeight="1">
      <c r="CU260" s="194"/>
    </row>
    <row r="261" ht="13.5" customHeight="1">
      <c r="CU261" s="194"/>
    </row>
    <row r="262" ht="13.5" customHeight="1">
      <c r="CU262" s="194"/>
    </row>
    <row r="263" ht="13.5" customHeight="1">
      <c r="CU263" s="194"/>
    </row>
    <row r="264" ht="13.5" customHeight="1">
      <c r="CU264" s="194"/>
    </row>
    <row r="265" ht="13.5" customHeight="1">
      <c r="CU265" s="194"/>
    </row>
    <row r="266" ht="13.5" customHeight="1">
      <c r="CU266" s="194"/>
    </row>
    <row r="267" ht="13.5" customHeight="1">
      <c r="CU267" s="194"/>
    </row>
    <row r="268" ht="13.5" customHeight="1">
      <c r="CU268" s="194"/>
    </row>
    <row r="269" ht="13.5" customHeight="1">
      <c r="CU269" s="194"/>
    </row>
    <row r="270" ht="13.5" customHeight="1">
      <c r="CU270" s="194"/>
    </row>
    <row r="271" ht="13.5" customHeight="1">
      <c r="CU271" s="194"/>
    </row>
    <row r="272" ht="13.5" customHeight="1">
      <c r="CU272" s="194"/>
    </row>
    <row r="273" ht="13.5" customHeight="1">
      <c r="CU273" s="194"/>
    </row>
    <row r="274" ht="13.5" customHeight="1">
      <c r="CU274" s="194"/>
    </row>
    <row r="275" ht="13.5" customHeight="1">
      <c r="CU275" s="194"/>
    </row>
    <row r="276" ht="13.5" customHeight="1">
      <c r="CU276" s="194"/>
    </row>
    <row r="277" ht="13.5" customHeight="1">
      <c r="CU277" s="194"/>
    </row>
    <row r="278" ht="13.5" customHeight="1">
      <c r="CU278" s="194"/>
    </row>
    <row r="279" ht="13.5" customHeight="1">
      <c r="CU279" s="194"/>
    </row>
    <row r="280" ht="13.5" customHeight="1">
      <c r="CU280" s="194"/>
    </row>
    <row r="281" ht="13.5" customHeight="1">
      <c r="CU281" s="194"/>
    </row>
    <row r="282" ht="13.5" customHeight="1">
      <c r="CU282" s="194"/>
    </row>
    <row r="283" ht="13.5" customHeight="1">
      <c r="CU283" s="194"/>
    </row>
    <row r="284" ht="13.5" customHeight="1">
      <c r="CU284" s="194"/>
    </row>
    <row r="285" ht="13.5" customHeight="1">
      <c r="CU285" s="194"/>
    </row>
    <row r="286" ht="13.5" customHeight="1">
      <c r="CU286" s="194"/>
    </row>
    <row r="287" ht="13.5" customHeight="1">
      <c r="CU287" s="194"/>
    </row>
    <row r="288" ht="13.5" customHeight="1">
      <c r="CU288" s="194"/>
    </row>
    <row r="289" ht="13.5" customHeight="1">
      <c r="CU289" s="194"/>
    </row>
    <row r="290" ht="13.5" customHeight="1">
      <c r="CU290" s="194"/>
    </row>
    <row r="291" ht="13.5" customHeight="1">
      <c r="CU291" s="194"/>
    </row>
    <row r="292" ht="13.5" customHeight="1">
      <c r="CU292" s="194"/>
    </row>
    <row r="293" ht="13.5" customHeight="1">
      <c r="CU293" s="194"/>
    </row>
    <row r="294" ht="13.5" customHeight="1">
      <c r="CU294" s="194"/>
    </row>
    <row r="295" ht="13.5" customHeight="1">
      <c r="CU295" s="194"/>
    </row>
    <row r="296" ht="13.5" customHeight="1">
      <c r="CU296" s="194"/>
    </row>
    <row r="297" ht="13.5" customHeight="1">
      <c r="CU297" s="194"/>
    </row>
    <row r="298" ht="13.5" customHeight="1">
      <c r="CU298" s="194"/>
    </row>
    <row r="299" ht="13.5" customHeight="1">
      <c r="CU299" s="194"/>
    </row>
    <row r="300" ht="13.5" customHeight="1">
      <c r="CU300" s="194"/>
    </row>
    <row r="301" ht="13.5" customHeight="1">
      <c r="CU301" s="194"/>
    </row>
    <row r="302" ht="13.5" customHeight="1">
      <c r="CU302" s="194"/>
    </row>
    <row r="303" ht="13.5" customHeight="1">
      <c r="CU303" s="194"/>
    </row>
    <row r="304" ht="13.5" customHeight="1">
      <c r="CU304" s="194"/>
    </row>
    <row r="305" ht="13.5" customHeight="1">
      <c r="CU305" s="194"/>
    </row>
    <row r="306" ht="13.5" customHeight="1">
      <c r="CU306" s="194"/>
    </row>
    <row r="307" ht="13.5" customHeight="1">
      <c r="CU307" s="194"/>
    </row>
    <row r="308" ht="13.5" customHeight="1">
      <c r="CU308" s="194"/>
    </row>
    <row r="309" ht="13.5" customHeight="1">
      <c r="CU309" s="194"/>
    </row>
    <row r="310" ht="13.5" customHeight="1">
      <c r="CU310" s="194"/>
    </row>
    <row r="311" ht="13.5" customHeight="1">
      <c r="CU311" s="194"/>
    </row>
    <row r="312" ht="13.5" customHeight="1">
      <c r="CU312" s="194"/>
    </row>
    <row r="313" ht="13.5" customHeight="1">
      <c r="CU313" s="194"/>
    </row>
    <row r="314" ht="13.5" customHeight="1">
      <c r="CU314" s="194"/>
    </row>
    <row r="315" ht="13.5" customHeight="1">
      <c r="CU315" s="194"/>
    </row>
    <row r="316" ht="13.5" customHeight="1">
      <c r="CU316" s="194"/>
    </row>
    <row r="317" ht="13.5" customHeight="1">
      <c r="CU317" s="194"/>
    </row>
    <row r="318" ht="13.5" customHeight="1">
      <c r="CU318" s="194"/>
    </row>
    <row r="319" ht="13.5" customHeight="1">
      <c r="CU319" s="194"/>
    </row>
    <row r="320" ht="13.5" customHeight="1">
      <c r="CU320" s="194"/>
    </row>
    <row r="321" ht="13.5" customHeight="1">
      <c r="CU321" s="194"/>
    </row>
    <row r="322" ht="13.5" customHeight="1">
      <c r="CU322" s="194"/>
    </row>
    <row r="323" ht="13.5" customHeight="1">
      <c r="CU323" s="194"/>
    </row>
    <row r="324" ht="13.5" customHeight="1">
      <c r="CU324" s="194"/>
    </row>
    <row r="325" ht="13.5" customHeight="1">
      <c r="CU325" s="194"/>
    </row>
    <row r="326" ht="13.5" customHeight="1">
      <c r="CU326" s="194"/>
    </row>
    <row r="327" ht="13.5" customHeight="1">
      <c r="CU327" s="194"/>
    </row>
    <row r="328" ht="13.5" customHeight="1">
      <c r="CU328" s="194"/>
    </row>
    <row r="329" ht="13.5" customHeight="1">
      <c r="CU329" s="194"/>
    </row>
    <row r="330" ht="13.5" customHeight="1">
      <c r="CU330" s="194"/>
    </row>
    <row r="331" ht="13.5" customHeight="1">
      <c r="CU331" s="194"/>
    </row>
    <row r="332" ht="13.5" customHeight="1">
      <c r="CU332" s="194"/>
    </row>
    <row r="333" ht="13.5" customHeight="1">
      <c r="CU333" s="194"/>
    </row>
    <row r="334" ht="13.5" customHeight="1">
      <c r="CU334" s="194"/>
    </row>
    <row r="335" ht="13.5" customHeight="1">
      <c r="CU335" s="194"/>
    </row>
    <row r="336" ht="13.5" customHeight="1">
      <c r="CU336" s="194"/>
    </row>
    <row r="337" ht="13.5" customHeight="1">
      <c r="CU337" s="194"/>
    </row>
    <row r="338" ht="13.5" customHeight="1">
      <c r="CU338" s="194"/>
    </row>
    <row r="339" ht="13.5" customHeight="1">
      <c r="CU339" s="194"/>
    </row>
    <row r="340" ht="13.5" customHeight="1">
      <c r="CU340" s="194"/>
    </row>
    <row r="341" ht="13.5" customHeight="1">
      <c r="CU341" s="194"/>
    </row>
    <row r="342" ht="13.5" customHeight="1">
      <c r="CU342" s="194"/>
    </row>
    <row r="343" ht="13.5" customHeight="1">
      <c r="CU343" s="194"/>
    </row>
    <row r="344" ht="13.5" customHeight="1">
      <c r="CU344" s="194"/>
    </row>
    <row r="345" ht="13.5" customHeight="1">
      <c r="CU345" s="194"/>
    </row>
    <row r="346" ht="13.5" customHeight="1">
      <c r="CU346" s="194"/>
    </row>
    <row r="347" ht="13.5" customHeight="1">
      <c r="CU347" s="194"/>
    </row>
    <row r="348" ht="13.5" customHeight="1">
      <c r="CU348" s="194"/>
    </row>
    <row r="349" ht="13.5" customHeight="1">
      <c r="CU349" s="194"/>
    </row>
    <row r="350" ht="13.5" customHeight="1">
      <c r="CU350" s="194"/>
    </row>
    <row r="351" ht="13.5" customHeight="1">
      <c r="CU351" s="194"/>
    </row>
    <row r="352" ht="13.5" customHeight="1">
      <c r="CU352" s="194"/>
    </row>
    <row r="353" ht="13.5" customHeight="1">
      <c r="CU353" s="194"/>
    </row>
    <row r="354" ht="13.5" customHeight="1">
      <c r="CU354" s="194"/>
    </row>
    <row r="355" ht="13.5" customHeight="1">
      <c r="CU355" s="194"/>
    </row>
    <row r="356" ht="13.5" customHeight="1">
      <c r="CU356" s="194"/>
    </row>
    <row r="357" ht="13.5" customHeight="1">
      <c r="CU357" s="194"/>
    </row>
    <row r="358" ht="13.5" customHeight="1">
      <c r="CU358" s="194"/>
    </row>
    <row r="359" ht="13.5" customHeight="1">
      <c r="CU359" s="194"/>
    </row>
    <row r="360" ht="13.5" customHeight="1">
      <c r="CU360" s="194"/>
    </row>
    <row r="361" ht="13.5" customHeight="1">
      <c r="CU361" s="194"/>
    </row>
    <row r="362" ht="13.5" customHeight="1">
      <c r="CU362" s="194"/>
    </row>
    <row r="363" ht="13.5" customHeight="1">
      <c r="CU363" s="194"/>
    </row>
    <row r="364" ht="13.5" customHeight="1">
      <c r="CU364" s="194"/>
    </row>
    <row r="365" ht="13.5" customHeight="1">
      <c r="CU365" s="194"/>
    </row>
    <row r="366" ht="13.5" customHeight="1">
      <c r="CU366" s="194"/>
    </row>
    <row r="367" ht="13.5" customHeight="1">
      <c r="CU367" s="194"/>
    </row>
    <row r="368" ht="13.5" customHeight="1">
      <c r="CU368" s="194"/>
    </row>
    <row r="369" ht="13.5" customHeight="1">
      <c r="CU369" s="194"/>
    </row>
    <row r="370" ht="13.5" customHeight="1">
      <c r="CU370" s="194"/>
    </row>
    <row r="371" ht="13.5" customHeight="1">
      <c r="CU371" s="194"/>
    </row>
    <row r="372" ht="13.5" customHeight="1">
      <c r="CU372" s="194"/>
    </row>
    <row r="373" ht="13.5" customHeight="1">
      <c r="CU373" s="194"/>
    </row>
    <row r="374" ht="13.5" customHeight="1">
      <c r="CU374" s="194"/>
    </row>
    <row r="375" ht="13.5" customHeight="1">
      <c r="CU375" s="194"/>
    </row>
    <row r="376" ht="13.5" customHeight="1">
      <c r="CU376" s="194"/>
    </row>
    <row r="377" ht="13.5" customHeight="1">
      <c r="CU377" s="194"/>
    </row>
    <row r="378" ht="13.5" customHeight="1">
      <c r="CU378" s="194"/>
    </row>
    <row r="379" ht="13.5" customHeight="1">
      <c r="CU379" s="194"/>
    </row>
    <row r="380" ht="13.5" customHeight="1">
      <c r="CU380" s="194"/>
    </row>
    <row r="381" ht="13.5" customHeight="1">
      <c r="CU381" s="194"/>
    </row>
    <row r="382" ht="13.5" customHeight="1">
      <c r="CU382" s="194"/>
    </row>
    <row r="383" ht="13.5" customHeight="1">
      <c r="CU383" s="194"/>
    </row>
    <row r="384" ht="13.5" customHeight="1">
      <c r="CU384" s="194"/>
    </row>
    <row r="385" ht="13.5" customHeight="1">
      <c r="CU385" s="194"/>
    </row>
    <row r="386" ht="13.5" customHeight="1">
      <c r="CU386" s="194"/>
    </row>
    <row r="387" ht="13.5" customHeight="1">
      <c r="CU387" s="194"/>
    </row>
    <row r="388" ht="13.5" customHeight="1">
      <c r="CU388" s="194"/>
    </row>
    <row r="389" ht="13.5" customHeight="1">
      <c r="CU389" s="194"/>
    </row>
    <row r="390" ht="13.5" customHeight="1">
      <c r="CU390" s="194"/>
    </row>
    <row r="391" ht="13.5" customHeight="1">
      <c r="CU391" s="194"/>
    </row>
    <row r="392" ht="13.5" customHeight="1">
      <c r="CU392" s="194"/>
    </row>
    <row r="393" ht="13.5" customHeight="1">
      <c r="CU393" s="194"/>
    </row>
    <row r="394" ht="13.5" customHeight="1">
      <c r="CU394" s="194"/>
    </row>
    <row r="395" ht="13.5" customHeight="1">
      <c r="CU395" s="194"/>
    </row>
    <row r="396" ht="13.5" customHeight="1">
      <c r="CU396" s="194"/>
    </row>
    <row r="397" ht="13.5" customHeight="1">
      <c r="CU397" s="194"/>
    </row>
    <row r="398" ht="13.5" customHeight="1">
      <c r="CU398" s="194"/>
    </row>
    <row r="399" ht="13.5" customHeight="1">
      <c r="CU399" s="194"/>
    </row>
    <row r="400" ht="13.5" customHeight="1">
      <c r="CU400" s="194"/>
    </row>
    <row r="401" ht="13.5" customHeight="1">
      <c r="CU401" s="194"/>
    </row>
    <row r="402" ht="13.5" customHeight="1">
      <c r="CU402" s="194"/>
    </row>
    <row r="403" ht="13.5" customHeight="1">
      <c r="CU403" s="194"/>
    </row>
    <row r="404" ht="13.5" customHeight="1">
      <c r="CU404" s="194"/>
    </row>
    <row r="405" ht="13.5" customHeight="1">
      <c r="CU405" s="194"/>
    </row>
    <row r="406" ht="13.5" customHeight="1">
      <c r="CU406" s="194"/>
    </row>
    <row r="407" ht="13.5" customHeight="1">
      <c r="CU407" s="194"/>
    </row>
    <row r="408" ht="13.5" customHeight="1">
      <c r="CU408" s="194"/>
    </row>
    <row r="409" ht="13.5" customHeight="1">
      <c r="CU409" s="194"/>
    </row>
    <row r="410" ht="13.5" customHeight="1">
      <c r="CU410" s="194"/>
    </row>
    <row r="411" ht="13.5" customHeight="1">
      <c r="CU411" s="194"/>
    </row>
    <row r="412" ht="13.5" customHeight="1">
      <c r="CU412" s="194"/>
    </row>
    <row r="413" ht="13.5" customHeight="1">
      <c r="CU413" s="194"/>
    </row>
    <row r="414" ht="13.5" customHeight="1">
      <c r="CU414" s="194"/>
    </row>
    <row r="415" ht="13.5" customHeight="1">
      <c r="CU415" s="194"/>
    </row>
    <row r="416" ht="13.5" customHeight="1">
      <c r="CU416" s="194"/>
    </row>
    <row r="417" ht="13.5" customHeight="1">
      <c r="CU417" s="194"/>
    </row>
    <row r="418" ht="13.5" customHeight="1">
      <c r="CU418" s="194"/>
    </row>
    <row r="419" ht="13.5" customHeight="1">
      <c r="CU419" s="194"/>
    </row>
    <row r="420" ht="13.5" customHeight="1">
      <c r="CU420" s="194"/>
    </row>
    <row r="421" ht="13.5" customHeight="1">
      <c r="CU421" s="194"/>
    </row>
    <row r="422" ht="13.5" customHeight="1">
      <c r="CU422" s="194"/>
    </row>
    <row r="423" ht="13.5" customHeight="1">
      <c r="CU423" s="194"/>
    </row>
    <row r="424" ht="13.5" customHeight="1">
      <c r="CU424" s="194"/>
    </row>
    <row r="425" ht="13.5" customHeight="1">
      <c r="CU425" s="194"/>
    </row>
    <row r="426" ht="13.5" customHeight="1">
      <c r="CU426" s="194"/>
    </row>
    <row r="427" ht="13.5" customHeight="1">
      <c r="CU427" s="194"/>
    </row>
    <row r="428" ht="13.5" customHeight="1">
      <c r="CU428" s="194"/>
    </row>
    <row r="429" ht="13.5" customHeight="1">
      <c r="CU429" s="194"/>
    </row>
    <row r="430" ht="13.5" customHeight="1">
      <c r="CU430" s="194"/>
    </row>
    <row r="431" ht="13.5" customHeight="1">
      <c r="CU431" s="194"/>
    </row>
    <row r="432" ht="13.5" customHeight="1">
      <c r="CU432" s="194"/>
    </row>
    <row r="433" ht="13.5" customHeight="1">
      <c r="CU433" s="194"/>
    </row>
    <row r="434" ht="13.5" customHeight="1">
      <c r="CU434" s="194"/>
    </row>
    <row r="435" ht="13.5" customHeight="1">
      <c r="CU435" s="194"/>
    </row>
    <row r="436" ht="13.5" customHeight="1">
      <c r="CU436" s="194"/>
    </row>
    <row r="437" ht="13.5" customHeight="1">
      <c r="CU437" s="194"/>
    </row>
    <row r="438" ht="13.5" customHeight="1">
      <c r="CU438" s="194"/>
    </row>
    <row r="439" ht="13.5" customHeight="1">
      <c r="CU439" s="194"/>
    </row>
    <row r="440" ht="13.5" customHeight="1">
      <c r="CU440" s="194"/>
    </row>
    <row r="441" ht="13.5" customHeight="1">
      <c r="CU441" s="194"/>
    </row>
    <row r="442" ht="13.5" customHeight="1">
      <c r="CU442" s="194"/>
    </row>
    <row r="443" ht="13.5" customHeight="1">
      <c r="CU443" s="194"/>
    </row>
    <row r="444" ht="13.5" customHeight="1">
      <c r="CU444" s="194"/>
    </row>
    <row r="445" ht="13.5" customHeight="1">
      <c r="CU445" s="194"/>
    </row>
    <row r="446" ht="13.5" customHeight="1">
      <c r="CU446" s="194"/>
    </row>
    <row r="447" ht="13.5" customHeight="1">
      <c r="CU447" s="194"/>
    </row>
    <row r="448" ht="13.5" customHeight="1">
      <c r="CU448" s="194"/>
    </row>
    <row r="449" ht="13.5" customHeight="1">
      <c r="CU449" s="194"/>
    </row>
    <row r="450" ht="13.5" customHeight="1">
      <c r="CU450" s="194"/>
    </row>
    <row r="451" ht="13.5" customHeight="1">
      <c r="CU451" s="194"/>
    </row>
    <row r="452" ht="13.5" customHeight="1">
      <c r="CU452" s="194"/>
    </row>
    <row r="453" ht="13.5" customHeight="1">
      <c r="CU453" s="194"/>
    </row>
    <row r="454" ht="13.5" customHeight="1">
      <c r="CU454" s="194"/>
    </row>
    <row r="455" ht="13.5" customHeight="1">
      <c r="CU455" s="194"/>
    </row>
    <row r="456" ht="13.5" customHeight="1">
      <c r="CU456" s="194"/>
    </row>
    <row r="457" ht="13.5" customHeight="1">
      <c r="CU457" s="194"/>
    </row>
    <row r="458" ht="13.5" customHeight="1">
      <c r="CU458" s="194"/>
    </row>
    <row r="459" ht="13.5" customHeight="1">
      <c r="CU459" s="194"/>
    </row>
    <row r="460" ht="13.5" customHeight="1">
      <c r="CU460" s="194"/>
    </row>
    <row r="461" ht="13.5" customHeight="1">
      <c r="CU461" s="194"/>
    </row>
    <row r="462" ht="13.5" customHeight="1">
      <c r="CU462" s="194"/>
    </row>
    <row r="463" ht="13.5" customHeight="1">
      <c r="CU463" s="194"/>
    </row>
    <row r="464" ht="13.5" customHeight="1">
      <c r="CU464" s="194"/>
    </row>
    <row r="465" ht="13.5" customHeight="1">
      <c r="CU465" s="194"/>
    </row>
    <row r="466" ht="13.5" customHeight="1">
      <c r="CU466" s="194"/>
    </row>
    <row r="467" ht="13.5" customHeight="1">
      <c r="CU467" s="194"/>
    </row>
    <row r="468" ht="13.5" customHeight="1">
      <c r="CU468" s="194"/>
    </row>
    <row r="469" ht="13.5" customHeight="1">
      <c r="CU469" s="194"/>
    </row>
    <row r="470" ht="13.5" customHeight="1">
      <c r="CU470" s="194"/>
    </row>
    <row r="471" ht="13.5" customHeight="1">
      <c r="CU471" s="194"/>
    </row>
    <row r="472" ht="13.5" customHeight="1">
      <c r="CU472" s="194"/>
    </row>
    <row r="473" ht="13.5" customHeight="1">
      <c r="CU473" s="194"/>
    </row>
    <row r="474" ht="13.5" customHeight="1">
      <c r="CU474" s="194"/>
    </row>
    <row r="475" ht="13.5" customHeight="1">
      <c r="CU475" s="194"/>
    </row>
    <row r="476" ht="13.5" customHeight="1">
      <c r="CU476" s="194"/>
    </row>
    <row r="477" ht="13.5" customHeight="1">
      <c r="CU477" s="194"/>
    </row>
    <row r="478" ht="13.5" customHeight="1">
      <c r="CU478" s="194"/>
    </row>
    <row r="479" ht="13.5" customHeight="1">
      <c r="CU479" s="194"/>
    </row>
    <row r="480" ht="13.5" customHeight="1">
      <c r="CU480" s="194"/>
    </row>
    <row r="481" ht="13.5" customHeight="1">
      <c r="CU481" s="194"/>
    </row>
    <row r="482" ht="13.5" customHeight="1">
      <c r="CU482" s="194"/>
    </row>
    <row r="483" ht="13.5" customHeight="1">
      <c r="CU483" s="194"/>
    </row>
    <row r="484" ht="13.5" customHeight="1">
      <c r="CU484" s="194"/>
    </row>
    <row r="485" ht="13.5" customHeight="1">
      <c r="CU485" s="194"/>
    </row>
    <row r="486" ht="13.5" customHeight="1">
      <c r="CU486" s="194"/>
    </row>
    <row r="487" ht="13.5" customHeight="1">
      <c r="CU487" s="194"/>
    </row>
    <row r="488" ht="13.5" customHeight="1">
      <c r="CU488" s="194"/>
    </row>
    <row r="489" ht="13.5" customHeight="1">
      <c r="CU489" s="194"/>
    </row>
    <row r="490" ht="13.5" customHeight="1">
      <c r="CU490" s="194"/>
    </row>
    <row r="491" ht="13.5" customHeight="1">
      <c r="CU491" s="194"/>
    </row>
    <row r="492" ht="13.5" customHeight="1">
      <c r="CU492" s="194"/>
    </row>
    <row r="493" ht="13.5" customHeight="1">
      <c r="CU493" s="194"/>
    </row>
    <row r="494" ht="13.5" customHeight="1">
      <c r="CU494" s="194"/>
    </row>
    <row r="495" ht="13.5" customHeight="1">
      <c r="CU495" s="194"/>
    </row>
    <row r="496" ht="13.5" customHeight="1">
      <c r="CU496" s="194"/>
    </row>
    <row r="497" ht="13.5" customHeight="1">
      <c r="CU497" s="194"/>
    </row>
    <row r="498" ht="13.5" customHeight="1">
      <c r="CU498" s="194"/>
    </row>
    <row r="499" ht="13.5" customHeight="1">
      <c r="CU499" s="194"/>
    </row>
    <row r="500" ht="13.5" customHeight="1">
      <c r="CU500" s="194"/>
    </row>
    <row r="501" ht="13.5" customHeight="1">
      <c r="CU501" s="194"/>
    </row>
    <row r="502" ht="13.5" customHeight="1">
      <c r="CU502" s="194"/>
    </row>
    <row r="503" ht="13.5" customHeight="1">
      <c r="CU503" s="194"/>
    </row>
    <row r="504" ht="13.5" customHeight="1">
      <c r="CU504" s="194"/>
    </row>
    <row r="505" ht="13.5" customHeight="1">
      <c r="CU505" s="194"/>
    </row>
    <row r="506" ht="13.5" customHeight="1">
      <c r="CU506" s="194"/>
    </row>
    <row r="507" ht="13.5" customHeight="1">
      <c r="CU507" s="194"/>
    </row>
    <row r="508" ht="13.5" customHeight="1">
      <c r="CU508" s="194"/>
    </row>
    <row r="509" ht="13.5" customHeight="1">
      <c r="CU509" s="194"/>
    </row>
    <row r="510" ht="13.5" customHeight="1">
      <c r="CU510" s="194"/>
    </row>
    <row r="511" ht="13.5" customHeight="1">
      <c r="CU511" s="194"/>
    </row>
    <row r="512" ht="13.5" customHeight="1">
      <c r="CU512" s="194"/>
    </row>
    <row r="513" ht="13.5" customHeight="1">
      <c r="CU513" s="194"/>
    </row>
    <row r="514" ht="13.5" customHeight="1">
      <c r="CU514" s="194"/>
    </row>
    <row r="515" ht="13.5" customHeight="1">
      <c r="CU515" s="194"/>
    </row>
    <row r="516" ht="13.5" customHeight="1">
      <c r="CU516" s="194"/>
    </row>
    <row r="517" ht="13.5" customHeight="1">
      <c r="CU517" s="194"/>
    </row>
    <row r="518" ht="13.5" customHeight="1">
      <c r="CU518" s="194"/>
    </row>
    <row r="519" ht="13.5" customHeight="1">
      <c r="CU519" s="194"/>
    </row>
    <row r="520" ht="13.5" customHeight="1">
      <c r="CU520" s="194"/>
    </row>
    <row r="521" ht="13.5" customHeight="1">
      <c r="CU521" s="194"/>
    </row>
    <row r="522" ht="13.5" customHeight="1">
      <c r="CU522" s="194"/>
    </row>
    <row r="523" ht="13.5" customHeight="1">
      <c r="CU523" s="194"/>
    </row>
    <row r="524" ht="13.5" customHeight="1">
      <c r="CU524" s="194"/>
    </row>
    <row r="525" ht="13.5" customHeight="1">
      <c r="CU525" s="194"/>
    </row>
    <row r="526" ht="13.5" customHeight="1">
      <c r="CU526" s="194"/>
    </row>
    <row r="527" ht="13.5" customHeight="1">
      <c r="CU527" s="194"/>
    </row>
    <row r="528" ht="13.5" customHeight="1">
      <c r="CU528" s="194"/>
    </row>
    <row r="529" ht="13.5" customHeight="1">
      <c r="CU529" s="194"/>
    </row>
    <row r="530" ht="13.5" customHeight="1">
      <c r="CU530" s="194"/>
    </row>
    <row r="531" ht="13.5" customHeight="1">
      <c r="CU531" s="194"/>
    </row>
    <row r="532" ht="13.5" customHeight="1">
      <c r="CU532" s="194"/>
    </row>
    <row r="533" ht="13.5" customHeight="1">
      <c r="CU533" s="194"/>
    </row>
    <row r="534" ht="13.5" customHeight="1">
      <c r="CU534" s="194"/>
    </row>
    <row r="535" ht="13.5" customHeight="1">
      <c r="CU535" s="194"/>
    </row>
    <row r="536" ht="13.5" customHeight="1">
      <c r="CU536" s="194"/>
    </row>
    <row r="537" ht="13.5" customHeight="1">
      <c r="CU537" s="194"/>
    </row>
    <row r="538" ht="13.5" customHeight="1">
      <c r="CU538" s="194"/>
    </row>
    <row r="539" ht="13.5" customHeight="1">
      <c r="CU539" s="194"/>
    </row>
    <row r="540" ht="13.5" customHeight="1">
      <c r="CU540" s="194"/>
    </row>
    <row r="541" ht="13.5" customHeight="1">
      <c r="CU541" s="194"/>
    </row>
    <row r="542" ht="13.5" customHeight="1">
      <c r="CU542" s="194"/>
    </row>
    <row r="543" ht="13.5" customHeight="1">
      <c r="CU543" s="194"/>
    </row>
    <row r="544" ht="13.5" customHeight="1">
      <c r="CU544" s="194"/>
    </row>
    <row r="545" ht="13.5" customHeight="1">
      <c r="CU545" s="194"/>
    </row>
    <row r="546" ht="13.5" customHeight="1">
      <c r="CU546" s="194"/>
    </row>
    <row r="547" ht="13.5" customHeight="1">
      <c r="CU547" s="194"/>
    </row>
    <row r="548" ht="13.5" customHeight="1">
      <c r="CU548" s="194"/>
    </row>
    <row r="549" ht="13.5" customHeight="1">
      <c r="CU549" s="194"/>
    </row>
    <row r="550" ht="13.5" customHeight="1">
      <c r="CU550" s="194"/>
    </row>
    <row r="551" ht="13.5" customHeight="1">
      <c r="CU551" s="194"/>
    </row>
    <row r="552" ht="13.5" customHeight="1">
      <c r="CU552" s="194"/>
    </row>
    <row r="553" ht="13.5" customHeight="1">
      <c r="CU553" s="194"/>
    </row>
    <row r="554" ht="13.5" customHeight="1">
      <c r="CU554" s="194"/>
    </row>
    <row r="555" ht="13.5" customHeight="1">
      <c r="CU555" s="194"/>
    </row>
    <row r="556" ht="13.5" customHeight="1">
      <c r="CU556" s="194"/>
    </row>
    <row r="557" ht="13.5" customHeight="1">
      <c r="CU557" s="194"/>
    </row>
    <row r="558" ht="13.5" customHeight="1">
      <c r="CU558" s="194"/>
    </row>
    <row r="559" ht="13.5" customHeight="1">
      <c r="CU559" s="194"/>
    </row>
    <row r="560" ht="13.5" customHeight="1">
      <c r="CU560" s="194"/>
    </row>
    <row r="561" ht="13.5" customHeight="1">
      <c r="CU561" s="194"/>
    </row>
    <row r="562" ht="13.5" customHeight="1">
      <c r="CU562" s="194"/>
    </row>
    <row r="563" ht="13.5" customHeight="1">
      <c r="CU563" s="194"/>
    </row>
    <row r="564" ht="13.5" customHeight="1">
      <c r="CU564" s="194"/>
    </row>
    <row r="565" ht="13.5" customHeight="1">
      <c r="CU565" s="194"/>
    </row>
    <row r="566" ht="13.5" customHeight="1">
      <c r="CU566" s="194"/>
    </row>
    <row r="567" ht="13.5" customHeight="1">
      <c r="CU567" s="194"/>
    </row>
    <row r="568" ht="13.5" customHeight="1">
      <c r="CU568" s="194"/>
    </row>
    <row r="569" ht="13.5" customHeight="1">
      <c r="CU569" s="194"/>
    </row>
    <row r="570" ht="13.5" customHeight="1">
      <c r="CU570" s="194"/>
    </row>
    <row r="571" ht="13.5" customHeight="1">
      <c r="CU571" s="194"/>
    </row>
    <row r="572" ht="13.5" customHeight="1">
      <c r="CU572" s="194"/>
    </row>
    <row r="573" ht="13.5" customHeight="1">
      <c r="CU573" s="194"/>
    </row>
    <row r="574" ht="13.5" customHeight="1">
      <c r="CU574" s="194"/>
    </row>
    <row r="575" ht="13.5" customHeight="1">
      <c r="CU575" s="194"/>
    </row>
    <row r="576" ht="13.5" customHeight="1">
      <c r="CU576" s="194"/>
    </row>
    <row r="577" ht="13.5" customHeight="1">
      <c r="CU577" s="194"/>
    </row>
    <row r="578" ht="13.5" customHeight="1">
      <c r="CU578" s="194"/>
    </row>
    <row r="579" ht="13.5" customHeight="1">
      <c r="CU579" s="194"/>
    </row>
    <row r="580" ht="13.5" customHeight="1">
      <c r="CU580" s="194"/>
    </row>
    <row r="581" ht="13.5" customHeight="1">
      <c r="CU581" s="194"/>
    </row>
    <row r="582" ht="13.5" customHeight="1">
      <c r="CU582" s="194"/>
    </row>
    <row r="583" ht="13.5" customHeight="1">
      <c r="CU583" s="194"/>
    </row>
    <row r="584" ht="13.5" customHeight="1">
      <c r="CU584" s="194"/>
    </row>
    <row r="585" ht="13.5" customHeight="1">
      <c r="CU585" s="194"/>
    </row>
    <row r="586" ht="13.5" customHeight="1">
      <c r="CU586" s="194"/>
    </row>
    <row r="587" ht="13.5" customHeight="1">
      <c r="CU587" s="194"/>
    </row>
    <row r="588" ht="13.5" customHeight="1">
      <c r="CU588" s="194"/>
    </row>
    <row r="589" ht="13.5" customHeight="1">
      <c r="CU589" s="194"/>
    </row>
    <row r="590" ht="13.5" customHeight="1">
      <c r="CU590" s="194"/>
    </row>
    <row r="591" ht="13.5" customHeight="1">
      <c r="CU591" s="194"/>
    </row>
    <row r="592" ht="13.5" customHeight="1">
      <c r="CU592" s="194"/>
    </row>
    <row r="593" ht="13.5" customHeight="1">
      <c r="CU593" s="194"/>
    </row>
    <row r="594" ht="13.5" customHeight="1">
      <c r="CU594" s="194"/>
    </row>
    <row r="595" ht="13.5" customHeight="1">
      <c r="CU595" s="194"/>
    </row>
    <row r="596" ht="13.5" customHeight="1">
      <c r="CU596" s="194"/>
    </row>
    <row r="597" ht="13.5" customHeight="1">
      <c r="CU597" s="194"/>
    </row>
    <row r="598" ht="13.5" customHeight="1">
      <c r="CU598" s="194"/>
    </row>
    <row r="599" ht="13.5" customHeight="1">
      <c r="CU599" s="194"/>
    </row>
    <row r="600" ht="13.5" customHeight="1">
      <c r="CU600" s="194"/>
    </row>
    <row r="601" ht="13.5" customHeight="1">
      <c r="CU601" s="194"/>
    </row>
    <row r="602" ht="13.5" customHeight="1">
      <c r="CU602" s="194"/>
    </row>
    <row r="603" ht="13.5" customHeight="1">
      <c r="CU603" s="194"/>
    </row>
    <row r="604" ht="13.5" customHeight="1">
      <c r="CU604" s="194"/>
    </row>
    <row r="605" ht="13.5" customHeight="1">
      <c r="CU605" s="194"/>
    </row>
    <row r="606" ht="13.5" customHeight="1">
      <c r="CU606" s="194"/>
    </row>
    <row r="607" ht="13.5" customHeight="1">
      <c r="CU607" s="194"/>
    </row>
    <row r="608" ht="13.5" customHeight="1">
      <c r="CU608" s="194"/>
    </row>
    <row r="609" ht="13.5" customHeight="1">
      <c r="CU609" s="194"/>
    </row>
    <row r="610" ht="13.5" customHeight="1">
      <c r="CU610" s="194"/>
    </row>
    <row r="611" ht="13.5" customHeight="1">
      <c r="CU611" s="194"/>
    </row>
    <row r="612" ht="13.5" customHeight="1">
      <c r="CU612" s="194"/>
    </row>
    <row r="613" ht="13.5" customHeight="1">
      <c r="CU613" s="194"/>
    </row>
    <row r="614" ht="13.5" customHeight="1">
      <c r="CU614" s="194"/>
    </row>
    <row r="615" ht="13.5" customHeight="1">
      <c r="CU615" s="194"/>
    </row>
    <row r="616" ht="13.5" customHeight="1">
      <c r="CU616" s="194"/>
    </row>
    <row r="617" ht="13.5" customHeight="1">
      <c r="CU617" s="194"/>
    </row>
    <row r="618" ht="13.5" customHeight="1">
      <c r="CU618" s="194"/>
    </row>
    <row r="619" ht="13.5" customHeight="1">
      <c r="CU619" s="194"/>
    </row>
    <row r="620" ht="13.5" customHeight="1">
      <c r="CU620" s="194"/>
    </row>
    <row r="621" ht="13.5" customHeight="1">
      <c r="CU621" s="194"/>
    </row>
    <row r="622" ht="13.5" customHeight="1">
      <c r="CU622" s="194"/>
    </row>
    <row r="623" ht="13.5" customHeight="1">
      <c r="CU623" s="194"/>
    </row>
    <row r="624" ht="13.5" customHeight="1">
      <c r="CU624" s="194"/>
    </row>
    <row r="625" ht="13.5" customHeight="1">
      <c r="CU625" s="194"/>
    </row>
    <row r="626" ht="13.5" customHeight="1">
      <c r="CU626" s="194"/>
    </row>
    <row r="627" ht="13.5" customHeight="1">
      <c r="CU627" s="194"/>
    </row>
    <row r="628" ht="13.5" customHeight="1">
      <c r="CU628" s="194"/>
    </row>
    <row r="629" ht="13.5" customHeight="1">
      <c r="CU629" s="194"/>
    </row>
    <row r="630" ht="13.5" customHeight="1">
      <c r="CU630" s="194"/>
    </row>
    <row r="631" ht="13.5" customHeight="1">
      <c r="CU631" s="194"/>
    </row>
    <row r="632" ht="13.5" customHeight="1">
      <c r="CU632" s="194"/>
    </row>
    <row r="633" ht="13.5" customHeight="1">
      <c r="CU633" s="194"/>
    </row>
    <row r="634" ht="13.5" customHeight="1">
      <c r="CU634" s="194"/>
    </row>
    <row r="635" ht="13.5" customHeight="1">
      <c r="CU635" s="194"/>
    </row>
    <row r="636" ht="13.5" customHeight="1">
      <c r="CU636" s="194"/>
    </row>
    <row r="637" ht="13.5" customHeight="1">
      <c r="CU637" s="194"/>
    </row>
    <row r="638" ht="13.5" customHeight="1">
      <c r="CU638" s="194"/>
    </row>
    <row r="639" ht="13.5" customHeight="1">
      <c r="CU639" s="194"/>
    </row>
    <row r="640" ht="13.5" customHeight="1">
      <c r="CU640" s="194"/>
    </row>
    <row r="641" ht="13.5" customHeight="1">
      <c r="CU641" s="194"/>
    </row>
    <row r="642" ht="13.5" customHeight="1">
      <c r="CU642" s="194"/>
    </row>
    <row r="643" ht="13.5" customHeight="1">
      <c r="CU643" s="194"/>
    </row>
    <row r="644" ht="13.5" customHeight="1">
      <c r="CU644" s="194"/>
    </row>
    <row r="645" ht="13.5" customHeight="1">
      <c r="CU645" s="194"/>
    </row>
    <row r="646" ht="13.5" customHeight="1">
      <c r="CU646" s="194"/>
    </row>
    <row r="647" ht="13.5" customHeight="1">
      <c r="CU647" s="194"/>
    </row>
    <row r="648" ht="13.5" customHeight="1">
      <c r="CU648" s="194"/>
    </row>
    <row r="649" ht="13.5" customHeight="1">
      <c r="CU649" s="194"/>
    </row>
    <row r="650" ht="13.5" customHeight="1">
      <c r="CU650" s="194"/>
    </row>
    <row r="651" ht="13.5" customHeight="1">
      <c r="CU651" s="194"/>
    </row>
    <row r="652" ht="13.5" customHeight="1">
      <c r="CU652" s="194"/>
    </row>
    <row r="653" ht="13.5" customHeight="1">
      <c r="CU653" s="194"/>
    </row>
    <row r="654" ht="13.5" customHeight="1">
      <c r="CU654" s="194"/>
    </row>
    <row r="655" ht="13.5" customHeight="1">
      <c r="CU655" s="194"/>
    </row>
    <row r="656" ht="13.5" customHeight="1">
      <c r="CU656" s="194"/>
    </row>
    <row r="657" ht="13.5" customHeight="1">
      <c r="CU657" s="194"/>
    </row>
    <row r="658" ht="13.5" customHeight="1">
      <c r="CU658" s="194"/>
    </row>
    <row r="659" ht="13.5" customHeight="1">
      <c r="CU659" s="194"/>
    </row>
    <row r="660" ht="13.5" customHeight="1">
      <c r="CU660" s="194"/>
    </row>
    <row r="661" ht="13.5" customHeight="1">
      <c r="CU661" s="194"/>
    </row>
    <row r="662" ht="13.5" customHeight="1">
      <c r="CU662" s="194"/>
    </row>
    <row r="663" ht="13.5" customHeight="1">
      <c r="CU663" s="194"/>
    </row>
    <row r="664" ht="13.5" customHeight="1">
      <c r="CU664" s="194"/>
    </row>
    <row r="665" ht="13.5" customHeight="1">
      <c r="CU665" s="194"/>
    </row>
    <row r="666" ht="13.5" customHeight="1">
      <c r="CU666" s="194"/>
    </row>
    <row r="667" ht="13.5" customHeight="1">
      <c r="CU667" s="194"/>
    </row>
    <row r="668" ht="13.5" customHeight="1">
      <c r="CU668" s="194"/>
    </row>
    <row r="669" ht="13.5" customHeight="1">
      <c r="CU669" s="194"/>
    </row>
    <row r="670" ht="13.5" customHeight="1">
      <c r="CU670" s="194"/>
    </row>
    <row r="671" ht="13.5" customHeight="1">
      <c r="CU671" s="194"/>
    </row>
    <row r="672" ht="13.5" customHeight="1">
      <c r="CU672" s="194"/>
    </row>
    <row r="673" ht="13.5" customHeight="1">
      <c r="CU673" s="194"/>
    </row>
    <row r="674" ht="13.5" customHeight="1">
      <c r="CU674" s="194"/>
    </row>
    <row r="675" ht="13.5" customHeight="1">
      <c r="CU675" s="194"/>
    </row>
    <row r="676" ht="13.5" customHeight="1">
      <c r="CU676" s="194"/>
    </row>
    <row r="677" ht="13.5" customHeight="1">
      <c r="CU677" s="194"/>
    </row>
    <row r="678" ht="13.5" customHeight="1">
      <c r="CU678" s="194"/>
    </row>
    <row r="679" ht="13.5" customHeight="1">
      <c r="CU679" s="194"/>
    </row>
    <row r="680" ht="13.5" customHeight="1">
      <c r="CU680" s="194"/>
    </row>
    <row r="681" ht="13.5" customHeight="1">
      <c r="CU681" s="194"/>
    </row>
    <row r="682" ht="13.5" customHeight="1">
      <c r="CU682" s="194"/>
    </row>
    <row r="683" ht="13.5" customHeight="1">
      <c r="CU683" s="194"/>
    </row>
    <row r="684" ht="13.5" customHeight="1">
      <c r="CU684" s="194"/>
    </row>
    <row r="685" ht="13.5" customHeight="1">
      <c r="CU685" s="194"/>
    </row>
    <row r="686" ht="13.5" customHeight="1">
      <c r="CU686" s="194"/>
    </row>
    <row r="687" ht="13.5" customHeight="1">
      <c r="CU687" s="194"/>
    </row>
    <row r="688" ht="13.5" customHeight="1">
      <c r="CU688" s="194"/>
    </row>
    <row r="689" ht="13.5" customHeight="1">
      <c r="CU689" s="194"/>
    </row>
    <row r="690" ht="13.5" customHeight="1">
      <c r="CU690" s="194"/>
    </row>
    <row r="691" ht="13.5" customHeight="1">
      <c r="CU691" s="194"/>
    </row>
    <row r="692" ht="13.5" customHeight="1">
      <c r="CU692" s="194"/>
    </row>
    <row r="693" ht="13.5" customHeight="1">
      <c r="CU693" s="194"/>
    </row>
    <row r="694" ht="13.5" customHeight="1">
      <c r="CU694" s="194"/>
    </row>
    <row r="695" ht="13.5" customHeight="1">
      <c r="CU695" s="194"/>
    </row>
    <row r="696" ht="13.5" customHeight="1">
      <c r="CU696" s="194"/>
    </row>
    <row r="697" ht="13.5" customHeight="1">
      <c r="CU697" s="194"/>
    </row>
    <row r="698" ht="13.5" customHeight="1">
      <c r="CU698" s="194"/>
    </row>
    <row r="699" ht="13.5" customHeight="1">
      <c r="CU699" s="194"/>
    </row>
    <row r="700" ht="13.5" customHeight="1">
      <c r="CU700" s="194"/>
    </row>
    <row r="701" ht="13.5" customHeight="1">
      <c r="CU701" s="194"/>
    </row>
    <row r="702" ht="13.5" customHeight="1">
      <c r="CU702" s="194"/>
    </row>
    <row r="703" ht="13.5" customHeight="1">
      <c r="CU703" s="194"/>
    </row>
    <row r="704" ht="13.5" customHeight="1">
      <c r="CU704" s="194"/>
    </row>
    <row r="705" ht="13.5" customHeight="1">
      <c r="CU705" s="194"/>
    </row>
    <row r="706" ht="13.5" customHeight="1">
      <c r="CU706" s="194"/>
    </row>
    <row r="707" ht="13.5" customHeight="1">
      <c r="CU707" s="194"/>
    </row>
    <row r="708" ht="13.5" customHeight="1">
      <c r="CU708" s="194"/>
    </row>
    <row r="709" ht="13.5" customHeight="1">
      <c r="CU709" s="194"/>
    </row>
    <row r="710" ht="13.5" customHeight="1">
      <c r="CU710" s="194"/>
    </row>
    <row r="711" ht="13.5" customHeight="1">
      <c r="CU711" s="194"/>
    </row>
    <row r="712" ht="13.5" customHeight="1">
      <c r="CU712" s="194"/>
    </row>
    <row r="713" ht="13.5" customHeight="1">
      <c r="CU713" s="194"/>
    </row>
    <row r="714" ht="13.5" customHeight="1">
      <c r="CU714" s="194"/>
    </row>
    <row r="715" ht="13.5" customHeight="1">
      <c r="CU715" s="194"/>
    </row>
    <row r="716" ht="13.5" customHeight="1">
      <c r="CU716" s="194"/>
    </row>
    <row r="717" ht="13.5" customHeight="1">
      <c r="CU717" s="194"/>
    </row>
    <row r="718" ht="13.5" customHeight="1">
      <c r="CU718" s="194"/>
    </row>
    <row r="719" ht="13.5" customHeight="1">
      <c r="CU719" s="194"/>
    </row>
    <row r="720" ht="13.5" customHeight="1">
      <c r="CU720" s="194"/>
    </row>
    <row r="721" ht="13.5" customHeight="1">
      <c r="CU721" s="194"/>
    </row>
    <row r="722" ht="13.5" customHeight="1">
      <c r="CU722" s="194"/>
    </row>
    <row r="723" ht="13.5" customHeight="1">
      <c r="CU723" s="194"/>
    </row>
    <row r="724" ht="13.5" customHeight="1">
      <c r="CU724" s="194"/>
    </row>
    <row r="725" ht="13.5" customHeight="1">
      <c r="CU725" s="194"/>
    </row>
    <row r="726" ht="13.5" customHeight="1">
      <c r="CU726" s="194"/>
    </row>
    <row r="727" ht="13.5" customHeight="1">
      <c r="CU727" s="194"/>
    </row>
    <row r="728" ht="13.5" customHeight="1">
      <c r="CU728" s="194"/>
    </row>
    <row r="729" ht="13.5" customHeight="1">
      <c r="CU729" s="194"/>
    </row>
    <row r="730" ht="13.5" customHeight="1">
      <c r="CU730" s="194"/>
    </row>
    <row r="731" ht="13.5" customHeight="1">
      <c r="CU731" s="194"/>
    </row>
    <row r="732" ht="13.5" customHeight="1">
      <c r="CU732" s="194"/>
    </row>
    <row r="733" ht="13.5" customHeight="1">
      <c r="CU733" s="194"/>
    </row>
    <row r="734" ht="13.5" customHeight="1">
      <c r="CU734" s="194"/>
    </row>
    <row r="735" ht="13.5" customHeight="1">
      <c r="CU735" s="194"/>
    </row>
    <row r="736" ht="13.5" customHeight="1">
      <c r="CU736" s="194"/>
    </row>
    <row r="737" ht="13.5" customHeight="1">
      <c r="CU737" s="194"/>
    </row>
    <row r="738" ht="13.5" customHeight="1">
      <c r="CU738" s="194"/>
    </row>
    <row r="739" ht="13.5" customHeight="1">
      <c r="CU739" s="194"/>
    </row>
    <row r="740" ht="13.5" customHeight="1">
      <c r="CU740" s="194"/>
    </row>
    <row r="741" ht="13.5" customHeight="1">
      <c r="CU741" s="194"/>
    </row>
    <row r="742" ht="13.5" customHeight="1">
      <c r="CU742" s="194"/>
    </row>
    <row r="743" ht="13.5" customHeight="1">
      <c r="CU743" s="194"/>
    </row>
    <row r="744" ht="13.5" customHeight="1">
      <c r="CU744" s="194"/>
    </row>
    <row r="745" ht="13.5" customHeight="1">
      <c r="CU745" s="194"/>
    </row>
    <row r="746" ht="13.5" customHeight="1">
      <c r="CU746" s="194"/>
    </row>
    <row r="747" ht="13.5" customHeight="1">
      <c r="CU747" s="194"/>
    </row>
    <row r="748" ht="13.5" customHeight="1">
      <c r="CU748" s="194"/>
    </row>
    <row r="749" ht="13.5" customHeight="1">
      <c r="CU749" s="194"/>
    </row>
    <row r="750" ht="13.5" customHeight="1">
      <c r="CU750" s="194"/>
    </row>
    <row r="751" ht="13.5" customHeight="1">
      <c r="CU751" s="194"/>
    </row>
    <row r="752" ht="13.5" customHeight="1">
      <c r="CU752" s="194"/>
    </row>
    <row r="753" ht="13.5" customHeight="1">
      <c r="CU753" s="194"/>
    </row>
    <row r="754" ht="13.5" customHeight="1">
      <c r="CU754" s="194"/>
    </row>
    <row r="755" ht="13.5" customHeight="1">
      <c r="CU755" s="194"/>
    </row>
    <row r="756" ht="13.5" customHeight="1">
      <c r="CU756" s="194"/>
    </row>
    <row r="757" ht="13.5" customHeight="1">
      <c r="CU757" s="194"/>
    </row>
    <row r="758" ht="13.5" customHeight="1">
      <c r="CU758" s="194"/>
    </row>
    <row r="759" ht="13.5" customHeight="1">
      <c r="CU759" s="194"/>
    </row>
    <row r="760" ht="13.5" customHeight="1">
      <c r="CU760" s="194"/>
    </row>
    <row r="761" ht="13.5" customHeight="1">
      <c r="CU761" s="194"/>
    </row>
    <row r="762" ht="13.5" customHeight="1">
      <c r="CU762" s="194"/>
    </row>
    <row r="763" ht="13.5" customHeight="1">
      <c r="CU763" s="194"/>
    </row>
    <row r="764" ht="13.5" customHeight="1">
      <c r="CU764" s="194"/>
    </row>
    <row r="765" ht="13.5" customHeight="1">
      <c r="CU765" s="194"/>
    </row>
    <row r="766" ht="13.5" customHeight="1">
      <c r="CU766" s="194"/>
    </row>
    <row r="767" ht="13.5" customHeight="1">
      <c r="CU767" s="194"/>
    </row>
    <row r="768" ht="13.5" customHeight="1">
      <c r="CU768" s="194"/>
    </row>
    <row r="769" ht="13.5" customHeight="1">
      <c r="CU769" s="194"/>
    </row>
    <row r="770" ht="13.5" customHeight="1">
      <c r="CU770" s="194"/>
    </row>
    <row r="771" ht="13.5" customHeight="1">
      <c r="CU771" s="194"/>
    </row>
    <row r="772" ht="13.5" customHeight="1">
      <c r="CU772" s="194"/>
    </row>
    <row r="773" ht="13.5" customHeight="1">
      <c r="CU773" s="194"/>
    </row>
    <row r="774" ht="13.5" customHeight="1">
      <c r="CU774" s="194"/>
    </row>
    <row r="775" ht="13.5" customHeight="1">
      <c r="CU775" s="194"/>
    </row>
    <row r="776" ht="13.5" customHeight="1">
      <c r="CU776" s="194"/>
    </row>
    <row r="777" ht="13.5" customHeight="1">
      <c r="CU777" s="194"/>
    </row>
    <row r="778" ht="13.5" customHeight="1">
      <c r="CU778" s="194"/>
    </row>
    <row r="779" ht="13.5" customHeight="1">
      <c r="CU779" s="194"/>
    </row>
    <row r="780" ht="13.5" customHeight="1">
      <c r="CU780" s="194"/>
    </row>
    <row r="781" ht="13.5" customHeight="1">
      <c r="CU781" s="194"/>
    </row>
    <row r="782" ht="13.5" customHeight="1">
      <c r="CU782" s="194"/>
    </row>
    <row r="783" ht="13.5" customHeight="1">
      <c r="CU783" s="194"/>
    </row>
    <row r="784" ht="13.5" customHeight="1">
      <c r="CU784" s="194"/>
    </row>
    <row r="785" ht="13.5" customHeight="1">
      <c r="CU785" s="194"/>
    </row>
    <row r="786" ht="13.5" customHeight="1">
      <c r="CU786" s="194"/>
    </row>
    <row r="787" ht="13.5" customHeight="1">
      <c r="CU787" s="194"/>
    </row>
    <row r="788" ht="13.5" customHeight="1">
      <c r="CU788" s="194"/>
    </row>
    <row r="789" ht="13.5" customHeight="1">
      <c r="CU789" s="194"/>
    </row>
    <row r="790" ht="13.5" customHeight="1">
      <c r="CU790" s="194"/>
    </row>
    <row r="791" ht="13.5" customHeight="1">
      <c r="CU791" s="194"/>
    </row>
    <row r="792" ht="13.5" customHeight="1">
      <c r="CU792" s="194"/>
    </row>
    <row r="793" ht="13.5" customHeight="1">
      <c r="CU793" s="194"/>
    </row>
    <row r="794" ht="13.5" customHeight="1">
      <c r="CU794" s="194"/>
    </row>
    <row r="795" ht="13.5" customHeight="1">
      <c r="CU795" s="194"/>
    </row>
    <row r="796" ht="13.5" customHeight="1">
      <c r="CU796" s="194"/>
    </row>
    <row r="797" ht="13.5" customHeight="1">
      <c r="CU797" s="194"/>
    </row>
    <row r="798" ht="13.5" customHeight="1">
      <c r="CU798" s="194"/>
    </row>
    <row r="799" ht="13.5" customHeight="1">
      <c r="CU799" s="194"/>
    </row>
    <row r="800" ht="13.5" customHeight="1">
      <c r="CU800" s="194"/>
    </row>
    <row r="801" ht="13.5" customHeight="1">
      <c r="CU801" s="194"/>
    </row>
    <row r="802" ht="13.5" customHeight="1">
      <c r="CU802" s="194"/>
    </row>
    <row r="803" ht="13.5" customHeight="1">
      <c r="CU803" s="194"/>
    </row>
    <row r="804" ht="13.5" customHeight="1">
      <c r="CU804" s="194"/>
    </row>
    <row r="805" ht="13.5" customHeight="1">
      <c r="CU805" s="194"/>
    </row>
    <row r="806" ht="13.5" customHeight="1">
      <c r="CU806" s="194"/>
    </row>
    <row r="807" ht="13.5" customHeight="1">
      <c r="CU807" s="194"/>
    </row>
    <row r="808" ht="13.5" customHeight="1">
      <c r="CU808" s="194"/>
    </row>
    <row r="809" ht="13.5" customHeight="1">
      <c r="CU809" s="194"/>
    </row>
    <row r="810" ht="13.5" customHeight="1">
      <c r="CU810" s="194"/>
    </row>
    <row r="811" ht="13.5" customHeight="1">
      <c r="CU811" s="194"/>
    </row>
    <row r="812" ht="13.5" customHeight="1">
      <c r="CU812" s="194"/>
    </row>
    <row r="813" ht="13.5" customHeight="1">
      <c r="CU813" s="194"/>
    </row>
    <row r="814" ht="13.5" customHeight="1">
      <c r="CU814" s="194"/>
    </row>
    <row r="815" ht="13.5" customHeight="1">
      <c r="CU815" s="194"/>
    </row>
    <row r="816" ht="13.5" customHeight="1">
      <c r="CU816" s="194"/>
    </row>
    <row r="817" ht="13.5" customHeight="1">
      <c r="CU817" s="194"/>
    </row>
    <row r="818" ht="13.5" customHeight="1">
      <c r="CU818" s="194"/>
    </row>
    <row r="819" ht="13.5" customHeight="1">
      <c r="CU819" s="194"/>
    </row>
    <row r="820" ht="13.5" customHeight="1">
      <c r="CU820" s="194"/>
    </row>
    <row r="821" ht="13.5" customHeight="1">
      <c r="CU821" s="194"/>
    </row>
    <row r="822" ht="13.5" customHeight="1">
      <c r="CU822" s="194"/>
    </row>
    <row r="823" ht="13.5" customHeight="1">
      <c r="CU823" s="194"/>
    </row>
    <row r="824" ht="13.5" customHeight="1">
      <c r="CU824" s="194"/>
    </row>
    <row r="825" ht="13.5" customHeight="1">
      <c r="CU825" s="194"/>
    </row>
    <row r="826" ht="13.5" customHeight="1">
      <c r="CU826" s="194"/>
    </row>
    <row r="827" ht="13.5" customHeight="1">
      <c r="CU827" s="194"/>
    </row>
    <row r="828" ht="13.5" customHeight="1">
      <c r="CU828" s="194"/>
    </row>
    <row r="829" ht="13.5" customHeight="1">
      <c r="CU829" s="194"/>
    </row>
    <row r="830" ht="13.5" customHeight="1">
      <c r="CU830" s="194"/>
    </row>
    <row r="831" ht="13.5" customHeight="1">
      <c r="CU831" s="194"/>
    </row>
    <row r="832" ht="13.5" customHeight="1">
      <c r="CU832" s="194"/>
    </row>
    <row r="833" ht="13.5" customHeight="1">
      <c r="CU833" s="194"/>
    </row>
    <row r="834" ht="13.5" customHeight="1">
      <c r="CU834" s="194"/>
    </row>
    <row r="835" ht="13.5" customHeight="1">
      <c r="CU835" s="194"/>
    </row>
    <row r="836" ht="13.5" customHeight="1">
      <c r="CU836" s="194"/>
    </row>
    <row r="837" ht="13.5" customHeight="1">
      <c r="CU837" s="194"/>
    </row>
    <row r="838" ht="13.5" customHeight="1">
      <c r="CU838" s="194"/>
    </row>
    <row r="839" ht="13.5" customHeight="1">
      <c r="CU839" s="194"/>
    </row>
    <row r="840" ht="13.5" customHeight="1">
      <c r="CU840" s="194"/>
    </row>
    <row r="841" ht="13.5" customHeight="1">
      <c r="CU841" s="194"/>
    </row>
    <row r="842" ht="13.5" customHeight="1">
      <c r="CU842" s="194"/>
    </row>
    <row r="843" ht="13.5" customHeight="1">
      <c r="CU843" s="194"/>
    </row>
    <row r="844" ht="13.5" customHeight="1">
      <c r="CU844" s="194"/>
    </row>
    <row r="845" ht="13.5" customHeight="1">
      <c r="CU845" s="194"/>
    </row>
    <row r="846" ht="13.5" customHeight="1">
      <c r="CU846" s="194"/>
    </row>
    <row r="847" ht="13.5" customHeight="1">
      <c r="CU847" s="194"/>
    </row>
    <row r="848" ht="13.5" customHeight="1">
      <c r="CU848" s="194"/>
    </row>
    <row r="849" ht="13.5" customHeight="1">
      <c r="CU849" s="194"/>
    </row>
    <row r="850" ht="13.5" customHeight="1">
      <c r="CU850" s="194"/>
    </row>
    <row r="851" ht="13.5" customHeight="1">
      <c r="CU851" s="194"/>
    </row>
    <row r="852" ht="13.5" customHeight="1">
      <c r="CU852" s="194"/>
    </row>
    <row r="853" ht="13.5" customHeight="1">
      <c r="CU853" s="194"/>
    </row>
    <row r="854" ht="13.5" customHeight="1">
      <c r="CU854" s="194"/>
    </row>
    <row r="855" ht="13.5" customHeight="1">
      <c r="CU855" s="194"/>
    </row>
    <row r="856" ht="13.5" customHeight="1">
      <c r="CU856" s="194"/>
    </row>
    <row r="857" ht="13.5" customHeight="1">
      <c r="CU857" s="194"/>
    </row>
    <row r="858" ht="13.5" customHeight="1">
      <c r="CU858" s="194"/>
    </row>
    <row r="859" ht="13.5" customHeight="1">
      <c r="CU859" s="194"/>
    </row>
    <row r="860" ht="13.5" customHeight="1">
      <c r="CU860" s="194"/>
    </row>
    <row r="861" ht="13.5" customHeight="1">
      <c r="CU861" s="194"/>
    </row>
    <row r="862" ht="13.5" customHeight="1">
      <c r="CU862" s="194"/>
    </row>
    <row r="863" ht="13.5" customHeight="1">
      <c r="CU863" s="194"/>
    </row>
    <row r="864" ht="13.5" customHeight="1">
      <c r="CU864" s="194"/>
    </row>
    <row r="865" ht="13.5" customHeight="1">
      <c r="CU865" s="194"/>
    </row>
    <row r="866" ht="13.5" customHeight="1">
      <c r="CU866" s="194"/>
    </row>
    <row r="867" ht="13.5" customHeight="1">
      <c r="CU867" s="194"/>
    </row>
    <row r="868" ht="13.5" customHeight="1">
      <c r="CU868" s="194"/>
    </row>
    <row r="869" ht="13.5" customHeight="1">
      <c r="CU869" s="194"/>
    </row>
    <row r="870" ht="13.5" customHeight="1">
      <c r="CU870" s="194"/>
    </row>
    <row r="871" ht="13.5" customHeight="1">
      <c r="CU871" s="194"/>
    </row>
    <row r="872" ht="13.5" customHeight="1">
      <c r="CU872" s="194"/>
    </row>
    <row r="873" ht="13.5" customHeight="1">
      <c r="CU873" s="194"/>
    </row>
    <row r="874" ht="13.5" customHeight="1">
      <c r="CU874" s="194"/>
    </row>
    <row r="875" ht="13.5" customHeight="1">
      <c r="CU875" s="194"/>
    </row>
    <row r="876" ht="13.5" customHeight="1">
      <c r="CU876" s="194"/>
    </row>
    <row r="877" ht="13.5" customHeight="1">
      <c r="CU877" s="194"/>
    </row>
    <row r="878" ht="13.5" customHeight="1">
      <c r="CU878" s="194"/>
    </row>
    <row r="879" ht="13.5" customHeight="1">
      <c r="CU879" s="194"/>
    </row>
    <row r="880" ht="13.5" customHeight="1">
      <c r="CU880" s="194"/>
    </row>
    <row r="881" ht="13.5" customHeight="1">
      <c r="CU881" s="194"/>
    </row>
    <row r="882" ht="13.5" customHeight="1">
      <c r="CU882" s="194"/>
    </row>
    <row r="883" ht="13.5" customHeight="1">
      <c r="CU883" s="194"/>
    </row>
    <row r="884" ht="13.5" customHeight="1">
      <c r="CU884" s="194"/>
    </row>
    <row r="885" ht="13.5" customHeight="1">
      <c r="CU885" s="194"/>
    </row>
    <row r="886" ht="13.5" customHeight="1">
      <c r="CU886" s="194"/>
    </row>
    <row r="887" ht="13.5" customHeight="1">
      <c r="CU887" s="194"/>
    </row>
    <row r="888" ht="13.5" customHeight="1">
      <c r="CU888" s="194"/>
    </row>
    <row r="889" ht="13.5" customHeight="1">
      <c r="CU889" s="194"/>
    </row>
    <row r="890" ht="13.5" customHeight="1">
      <c r="CU890" s="194"/>
    </row>
    <row r="891" ht="13.5" customHeight="1">
      <c r="CU891" s="194"/>
    </row>
    <row r="892" ht="13.5" customHeight="1">
      <c r="CU892" s="194"/>
    </row>
    <row r="893" ht="13.5" customHeight="1">
      <c r="CU893" s="194"/>
    </row>
    <row r="894" ht="13.5" customHeight="1">
      <c r="CU894" s="194"/>
    </row>
    <row r="895" ht="13.5" customHeight="1">
      <c r="CU895" s="194"/>
    </row>
    <row r="896" ht="13.5" customHeight="1">
      <c r="CU896" s="194"/>
    </row>
    <row r="897" ht="13.5" customHeight="1">
      <c r="CU897" s="194"/>
    </row>
    <row r="898" ht="13.5" customHeight="1">
      <c r="CU898" s="194"/>
    </row>
    <row r="899" ht="13.5" customHeight="1">
      <c r="CU899" s="194"/>
    </row>
    <row r="900" ht="13.5" customHeight="1">
      <c r="CU900" s="194"/>
    </row>
    <row r="901" ht="13.5" customHeight="1">
      <c r="CU901" s="194"/>
    </row>
    <row r="902" ht="13.5" customHeight="1">
      <c r="CU902" s="194"/>
    </row>
    <row r="903" ht="13.5" customHeight="1">
      <c r="CU903" s="194"/>
    </row>
    <row r="904" ht="13.5" customHeight="1">
      <c r="CU904" s="194"/>
    </row>
    <row r="905" ht="13.5" customHeight="1">
      <c r="CU905" s="194"/>
    </row>
    <row r="906" ht="13.5" customHeight="1">
      <c r="CU906" s="194"/>
    </row>
    <row r="907" ht="13.5" customHeight="1">
      <c r="CU907" s="194"/>
    </row>
    <row r="908" ht="13.5" customHeight="1">
      <c r="CU908" s="194"/>
    </row>
    <row r="909" ht="13.5" customHeight="1">
      <c r="CU909" s="194"/>
    </row>
    <row r="910" ht="13.5" customHeight="1">
      <c r="CU910" s="194"/>
    </row>
    <row r="911" ht="13.5" customHeight="1">
      <c r="CU911" s="194"/>
    </row>
    <row r="912" ht="13.5" customHeight="1">
      <c r="CU912" s="194"/>
    </row>
    <row r="913" ht="13.5" customHeight="1">
      <c r="CU913" s="194"/>
    </row>
    <row r="914" ht="13.5" customHeight="1">
      <c r="CU914" s="194"/>
    </row>
    <row r="915" ht="13.5" customHeight="1">
      <c r="CU915" s="194"/>
    </row>
    <row r="916" ht="13.5" customHeight="1">
      <c r="CU916" s="194"/>
    </row>
    <row r="917" ht="13.5" customHeight="1">
      <c r="CU917" s="194"/>
    </row>
    <row r="918" ht="13.5" customHeight="1">
      <c r="CU918" s="194"/>
    </row>
    <row r="919" ht="13.5" customHeight="1">
      <c r="CU919" s="194"/>
    </row>
    <row r="920" ht="13.5" customHeight="1">
      <c r="CU920" s="194"/>
    </row>
    <row r="921" ht="13.5" customHeight="1">
      <c r="CU921" s="194"/>
    </row>
    <row r="922" ht="13.5" customHeight="1">
      <c r="CU922" s="194"/>
    </row>
    <row r="923" ht="13.5" customHeight="1">
      <c r="CU923" s="194"/>
    </row>
    <row r="924" ht="13.5" customHeight="1">
      <c r="CU924" s="194"/>
    </row>
    <row r="925" ht="13.5" customHeight="1">
      <c r="CU925" s="194"/>
    </row>
    <row r="926" ht="13.5" customHeight="1">
      <c r="CU926" s="194"/>
    </row>
    <row r="927" ht="13.5" customHeight="1">
      <c r="CU927" s="194"/>
    </row>
    <row r="928" ht="13.5" customHeight="1">
      <c r="CU928" s="194"/>
    </row>
    <row r="929" ht="13.5" customHeight="1">
      <c r="CU929" s="194"/>
    </row>
    <row r="930" ht="13.5" customHeight="1">
      <c r="CU930" s="194"/>
    </row>
    <row r="931" ht="13.5" customHeight="1">
      <c r="CU931" s="194"/>
    </row>
    <row r="932" ht="13.5" customHeight="1">
      <c r="CU932" s="194"/>
    </row>
    <row r="933" ht="13.5" customHeight="1">
      <c r="CU933" s="194"/>
    </row>
    <row r="934" ht="13.5" customHeight="1">
      <c r="CU934" s="194"/>
    </row>
    <row r="935" ht="13.5" customHeight="1">
      <c r="CU935" s="194"/>
    </row>
    <row r="936" ht="13.5" customHeight="1">
      <c r="CU936" s="194"/>
    </row>
    <row r="937" ht="13.5" customHeight="1">
      <c r="CU937" s="194"/>
    </row>
    <row r="938" ht="13.5" customHeight="1">
      <c r="CU938" s="194"/>
    </row>
    <row r="939" ht="13.5" customHeight="1">
      <c r="CU939" s="194"/>
    </row>
    <row r="940" ht="13.5" customHeight="1">
      <c r="CU940" s="194"/>
    </row>
    <row r="941" ht="13.5" customHeight="1">
      <c r="CU941" s="194"/>
    </row>
    <row r="942" ht="13.5" customHeight="1">
      <c r="CU942" s="194"/>
    </row>
    <row r="943" ht="13.5" customHeight="1">
      <c r="CU943" s="194"/>
    </row>
    <row r="944" ht="13.5" customHeight="1">
      <c r="CU944" s="194"/>
    </row>
    <row r="945" ht="13.5" customHeight="1">
      <c r="CU945" s="194"/>
    </row>
    <row r="946" ht="13.5" customHeight="1">
      <c r="CU946" s="194"/>
    </row>
    <row r="947" ht="13.5" customHeight="1">
      <c r="CU947" s="194"/>
    </row>
    <row r="948" ht="13.5" customHeight="1">
      <c r="CU948" s="194"/>
    </row>
    <row r="949" ht="13.5" customHeight="1">
      <c r="CU949" s="194"/>
    </row>
    <row r="950" ht="13.5" customHeight="1">
      <c r="CU950" s="194"/>
    </row>
    <row r="951" ht="13.5" customHeight="1">
      <c r="CU951" s="194"/>
    </row>
    <row r="952" ht="13.5" customHeight="1">
      <c r="CU952" s="194"/>
    </row>
    <row r="953" ht="13.5" customHeight="1">
      <c r="CU953" s="194"/>
    </row>
    <row r="954" ht="13.5" customHeight="1">
      <c r="CU954" s="194"/>
    </row>
    <row r="955" ht="13.5" customHeight="1">
      <c r="CU955" s="194"/>
    </row>
    <row r="956" ht="13.5" customHeight="1">
      <c r="CU956" s="194"/>
    </row>
    <row r="957" ht="13.5" customHeight="1">
      <c r="CU957" s="194"/>
    </row>
    <row r="958" ht="13.5" customHeight="1">
      <c r="CU958" s="194"/>
    </row>
    <row r="959" ht="13.5" customHeight="1">
      <c r="CU959" s="194"/>
    </row>
    <row r="960" ht="13.5" customHeight="1">
      <c r="CU960" s="194"/>
    </row>
    <row r="961" ht="13.5" customHeight="1">
      <c r="CU961" s="194"/>
    </row>
    <row r="962" ht="13.5" customHeight="1">
      <c r="CU962" s="194"/>
    </row>
    <row r="963" ht="13.5" customHeight="1">
      <c r="CU963" s="194"/>
    </row>
    <row r="964" ht="13.5" customHeight="1">
      <c r="CU964" s="194"/>
    </row>
    <row r="965" ht="13.5" customHeight="1">
      <c r="CU965" s="194"/>
    </row>
    <row r="966" ht="13.5" customHeight="1">
      <c r="CU966" s="194"/>
    </row>
    <row r="967" ht="13.5" customHeight="1">
      <c r="CU967" s="194"/>
    </row>
    <row r="968" ht="13.5" customHeight="1">
      <c r="CU968" s="194"/>
    </row>
    <row r="969" ht="13.5" customHeight="1">
      <c r="CU969" s="194"/>
    </row>
    <row r="970" ht="13.5" customHeight="1">
      <c r="CU970" s="194"/>
    </row>
    <row r="971" ht="13.5" customHeight="1">
      <c r="CU971" s="194"/>
    </row>
    <row r="972" ht="13.5" customHeight="1">
      <c r="CU972" s="194"/>
    </row>
    <row r="973" ht="13.5" customHeight="1">
      <c r="CU973" s="194"/>
    </row>
    <row r="974" ht="13.5" customHeight="1">
      <c r="CU974" s="194"/>
    </row>
    <row r="975" ht="13.5" customHeight="1">
      <c r="CU975" s="194"/>
    </row>
    <row r="976" ht="13.5" customHeight="1">
      <c r="CU976" s="194"/>
    </row>
    <row r="977" ht="13.5" customHeight="1">
      <c r="CU977" s="194"/>
    </row>
    <row r="978" ht="13.5" customHeight="1">
      <c r="CU978" s="194"/>
    </row>
    <row r="979" ht="13.5" customHeight="1">
      <c r="CU979" s="194"/>
    </row>
    <row r="980" ht="13.5" customHeight="1">
      <c r="CU980" s="194"/>
    </row>
    <row r="981" ht="13.5" customHeight="1">
      <c r="CU981" s="194"/>
    </row>
    <row r="982" ht="13.5" customHeight="1">
      <c r="CU982" s="194"/>
    </row>
    <row r="983" ht="13.5" customHeight="1">
      <c r="CU983" s="194"/>
    </row>
    <row r="984" ht="13.5" customHeight="1">
      <c r="CU984" s="194"/>
    </row>
    <row r="985" ht="13.5" customHeight="1">
      <c r="CU985" s="194"/>
    </row>
    <row r="986" ht="13.5" customHeight="1">
      <c r="CU986" s="194"/>
    </row>
    <row r="987" ht="13.5" customHeight="1">
      <c r="CU987" s="194"/>
    </row>
    <row r="988" ht="13.5" customHeight="1">
      <c r="CU988" s="194"/>
    </row>
    <row r="989" ht="13.5" customHeight="1">
      <c r="CU989" s="194"/>
    </row>
    <row r="990" ht="13.5" customHeight="1">
      <c r="CU990" s="194"/>
    </row>
    <row r="991" ht="13.5" customHeight="1">
      <c r="CU991" s="194"/>
    </row>
    <row r="992" ht="13.5" customHeight="1">
      <c r="CU992" s="194"/>
    </row>
    <row r="993" ht="13.5" customHeight="1">
      <c r="CU993" s="194"/>
    </row>
    <row r="994" ht="13.5" customHeight="1">
      <c r="CU994" s="194"/>
    </row>
    <row r="995" ht="13.5" customHeight="1">
      <c r="CU995" s="194"/>
    </row>
    <row r="996" ht="13.5" customHeight="1">
      <c r="CU996" s="194"/>
    </row>
    <row r="997" ht="13.5" customHeight="1">
      <c r="CU997" s="194"/>
    </row>
    <row r="998" ht="13.5" customHeight="1">
      <c r="CU998" s="194"/>
    </row>
    <row r="999" ht="13.5" customHeight="1">
      <c r="CU999" s="194"/>
    </row>
    <row r="1000" ht="13.5" customHeight="1">
      <c r="CU1000" s="194"/>
    </row>
  </sheetData>
  <autoFilter ref="$B$7:$CS$127"/>
  <mergeCells count="6">
    <mergeCell ref="AY1:BF1"/>
    <mergeCell ref="BG1:CS1"/>
    <mergeCell ref="BB6:BF6"/>
    <mergeCell ref="BR6:CA6"/>
    <mergeCell ref="CB6:CF6"/>
    <mergeCell ref="CG6:CL6"/>
  </mergeCells>
  <conditionalFormatting sqref="B8:B102">
    <cfRule type="cellIs" dxfId="0" priority="1" operator="equal">
      <formula>0</formula>
    </cfRule>
  </conditionalFormatting>
  <conditionalFormatting sqref="D8:D102">
    <cfRule type="cellIs" dxfId="0" priority="2" operator="equal">
      <formula>0</formula>
    </cfRule>
  </conditionalFormatting>
  <conditionalFormatting sqref="I1">
    <cfRule type="containsText" dxfId="1" priority="3" operator="containsText" text="TRUE">
      <formula>NOT(ISERROR(SEARCH(("TRUE"),(I1))))</formula>
    </cfRule>
  </conditionalFormatting>
  <conditionalFormatting sqref="I1">
    <cfRule type="notContainsText" dxfId="2" priority="4" operator="notContains" text="ok">
      <formula>ISERROR(SEARCH(("ok"),(I1)))</formula>
    </cfRule>
  </conditionalFormatting>
  <conditionalFormatting sqref="S31:S32 S38 S60:S102">
    <cfRule type="expression" dxfId="3" priority="5">
      <formula> ($G31 = "Storage" ) = TRUE</formula>
    </cfRule>
  </conditionalFormatting>
  <conditionalFormatting sqref="S43:S47">
    <cfRule type="expression" dxfId="3" priority="6">
      <formula> ($G43 = "Storage" ) = TRUE</formula>
    </cfRule>
  </conditionalFormatting>
  <conditionalFormatting sqref="U8:U102">
    <cfRule type="expression" dxfId="3" priority="7">
      <formula> ($G8 = "Storage" ) = TRUE</formula>
    </cfRule>
  </conditionalFormatting>
  <conditionalFormatting sqref="V8:V102">
    <cfRule type="containsText" dxfId="1" priority="8" operator="containsText" text="ok">
      <formula>NOT(ISERROR(SEARCH(("ok"),(V8))))</formula>
    </cfRule>
  </conditionalFormatting>
  <conditionalFormatting sqref="V8:V102">
    <cfRule type="notContainsText" dxfId="2" priority="9" operator="notContains" text="ok">
      <formula>ISERROR(SEARCH(("ok"),(V8)))</formula>
    </cfRule>
  </conditionalFormatting>
  <conditionalFormatting sqref="V24:V26">
    <cfRule type="containsText" dxfId="1" priority="10" operator="containsText" text="ok">
      <formula>NOT(ISERROR(SEARCH(("ok"),(V24))))</formula>
    </cfRule>
  </conditionalFormatting>
  <conditionalFormatting sqref="V24:V26">
    <cfRule type="notContainsText" dxfId="2" priority="11" operator="notContains" text="ok">
      <formula>ISERROR(SEARCH(("ok"),(V24)))</formula>
    </cfRule>
  </conditionalFormatting>
  <conditionalFormatting sqref="V28:V30">
    <cfRule type="containsText" dxfId="1" priority="12" operator="containsText" text="ok">
      <formula>NOT(ISERROR(SEARCH(("ok"),(V28))))</formula>
    </cfRule>
  </conditionalFormatting>
  <conditionalFormatting sqref="V28:V30">
    <cfRule type="notContainsText" dxfId="2" priority="13" operator="notContains" text="ok">
      <formula>ISERROR(SEARCH(("ok"),(V28)))</formula>
    </cfRule>
  </conditionalFormatting>
  <conditionalFormatting sqref="BG8:BG102">
    <cfRule type="expression" dxfId="3" priority="14">
      <formula> ($G8 = "Storage" ) = TRUE</formula>
    </cfRule>
  </conditionalFormatting>
  <conditionalFormatting sqref="P31:Q102 BH8:BH102 BN8:BN102">
    <cfRule type="expression" dxfId="3" priority="15">
      <formula> ($G8 = "Storage" ) = FALSE</formula>
    </cfRule>
  </conditionalFormatting>
  <conditionalFormatting sqref="BM8:BM102">
    <cfRule type="expression" dxfId="3" priority="16">
      <formula> ($G8 = "Storage" ) = TRUE</formula>
    </cfRule>
  </conditionalFormatting>
  <dataValidations>
    <dataValidation type="list" allowBlank="1" showErrorMessage="1" sqref="B8:B102 D8:D102">
      <formula1>"1,0"</formula1>
    </dataValidation>
  </dataValidations>
  <printOptions/>
  <pageMargins bottom="0.75" footer="0.0" header="0.0" left="0.7" right="0.7" top="0.75"/>
  <pageSetup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86"/>
    <col customWidth="1" min="2" max="2" width="25.0"/>
    <col customWidth="1" min="3" max="3" width="9.0"/>
    <col customWidth="1" min="4" max="4" width="16.14"/>
    <col customWidth="1" min="5" max="5" width="13.14"/>
    <col customWidth="1" min="6" max="7" width="10.86"/>
    <col customWidth="1" min="8" max="20" width="10.71"/>
  </cols>
  <sheetData>
    <row r="1" ht="13.5" customHeight="1">
      <c r="A1" s="199" t="s">
        <v>190</v>
      </c>
      <c r="B1" s="199" t="s">
        <v>42</v>
      </c>
      <c r="C1" s="199" t="s">
        <v>191</v>
      </c>
      <c r="D1" s="199" t="s">
        <v>192</v>
      </c>
      <c r="E1" s="199" t="s">
        <v>193</v>
      </c>
      <c r="F1" s="199" t="s">
        <v>194</v>
      </c>
      <c r="G1" s="199" t="s">
        <v>195</v>
      </c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</row>
    <row r="2" ht="13.5" customHeight="1">
      <c r="A2" s="201" t="s">
        <v>196</v>
      </c>
      <c r="B2" s="201" t="s">
        <v>107</v>
      </c>
      <c r="C2" s="201" t="s">
        <v>106</v>
      </c>
      <c r="D2" s="201">
        <v>0.6248</v>
      </c>
      <c r="E2" s="201"/>
      <c r="F2" s="201"/>
      <c r="G2" s="202">
        <v>10.0</v>
      </c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</row>
    <row r="3" ht="13.5" customHeight="1">
      <c r="A3" s="201" t="s">
        <v>197</v>
      </c>
      <c r="B3" s="201" t="s">
        <v>113</v>
      </c>
      <c r="C3" s="201" t="s">
        <v>106</v>
      </c>
      <c r="D3" s="201">
        <v>0.6248</v>
      </c>
      <c r="E3" s="201"/>
      <c r="F3" s="201"/>
      <c r="G3" s="202">
        <v>15.0</v>
      </c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</row>
    <row r="4" ht="13.5" customHeight="1">
      <c r="A4" s="201" t="s">
        <v>198</v>
      </c>
      <c r="B4" s="201" t="s">
        <v>116</v>
      </c>
      <c r="C4" s="201" t="s">
        <v>106</v>
      </c>
      <c r="D4" s="201">
        <v>0.255945</v>
      </c>
      <c r="E4" s="201"/>
      <c r="F4" s="201"/>
      <c r="G4" s="202">
        <v>20.0</v>
      </c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</row>
    <row r="5" ht="13.5" customHeight="1">
      <c r="A5" s="201" t="s">
        <v>199</v>
      </c>
      <c r="B5" s="201" t="s">
        <v>116</v>
      </c>
      <c r="C5" s="201" t="s">
        <v>106</v>
      </c>
      <c r="D5" s="201">
        <v>0.5678</v>
      </c>
      <c r="E5" s="201"/>
      <c r="F5" s="201"/>
      <c r="G5" s="202">
        <v>20.0</v>
      </c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</row>
    <row r="6" ht="13.5" customHeight="1">
      <c r="A6" s="201" t="s">
        <v>200</v>
      </c>
      <c r="B6" s="201" t="s">
        <v>116</v>
      </c>
      <c r="C6" s="201" t="s">
        <v>106</v>
      </c>
      <c r="D6" s="201">
        <v>0.6238</v>
      </c>
      <c r="E6" s="201"/>
      <c r="F6" s="201"/>
      <c r="G6" s="202">
        <v>20.0</v>
      </c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</row>
    <row r="7" ht="13.5" customHeight="1">
      <c r="A7" s="201" t="s">
        <v>201</v>
      </c>
      <c r="B7" s="201" t="s">
        <v>116</v>
      </c>
      <c r="C7" s="201" t="s">
        <v>106</v>
      </c>
      <c r="D7" s="201">
        <v>0.6249</v>
      </c>
      <c r="E7" s="201"/>
      <c r="F7" s="201"/>
      <c r="G7" s="202">
        <v>20.0</v>
      </c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</row>
    <row r="8" ht="13.5" customHeight="1">
      <c r="A8" s="201" t="s">
        <v>202</v>
      </c>
      <c r="B8" s="201" t="s">
        <v>116</v>
      </c>
      <c r="C8" s="201" t="s">
        <v>106</v>
      </c>
      <c r="D8" s="201">
        <v>0.49494</v>
      </c>
      <c r="E8" s="201"/>
      <c r="F8" s="201"/>
      <c r="G8" s="202">
        <v>20.0</v>
      </c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</row>
    <row r="9" ht="13.5" customHeight="1">
      <c r="A9" s="201" t="s">
        <v>203</v>
      </c>
      <c r="B9" s="201" t="s">
        <v>116</v>
      </c>
      <c r="C9" s="201" t="s">
        <v>106</v>
      </c>
      <c r="D9" s="201">
        <v>0.3865</v>
      </c>
      <c r="E9" s="201"/>
      <c r="F9" s="201"/>
      <c r="G9" s="202">
        <v>20.0</v>
      </c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</row>
    <row r="10" ht="13.5" customHeight="1">
      <c r="A10" s="201" t="s">
        <v>204</v>
      </c>
      <c r="B10" s="201" t="s">
        <v>116</v>
      </c>
      <c r="C10" s="201" t="s">
        <v>106</v>
      </c>
      <c r="D10" s="201">
        <v>0.5543</v>
      </c>
      <c r="E10" s="201"/>
      <c r="F10" s="201"/>
      <c r="G10" s="202">
        <v>20.0</v>
      </c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</row>
    <row r="11" ht="13.5" customHeight="1">
      <c r="A11" s="201" t="s">
        <v>205</v>
      </c>
      <c r="B11" s="201" t="s">
        <v>116</v>
      </c>
      <c r="C11" s="201" t="s">
        <v>106</v>
      </c>
      <c r="D11" s="201">
        <v>0.6249</v>
      </c>
      <c r="E11" s="201"/>
      <c r="F11" s="201"/>
      <c r="G11" s="202">
        <v>20.0</v>
      </c>
      <c r="H11" s="200"/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200"/>
    </row>
    <row r="12" ht="13.5" customHeight="1">
      <c r="A12" s="201" t="s">
        <v>206</v>
      </c>
      <c r="B12" s="201" t="s">
        <v>116</v>
      </c>
      <c r="C12" s="201" t="s">
        <v>106</v>
      </c>
      <c r="D12" s="201">
        <v>0.56161</v>
      </c>
      <c r="E12" s="201"/>
      <c r="F12" s="201"/>
      <c r="G12" s="202">
        <v>20.0</v>
      </c>
      <c r="H12" s="200"/>
      <c r="I12" s="200"/>
      <c r="J12" s="200"/>
      <c r="K12" s="200"/>
      <c r="L12" s="200"/>
      <c r="M12" s="200"/>
      <c r="N12" s="200"/>
      <c r="O12" s="200"/>
      <c r="P12" s="200"/>
      <c r="Q12" s="200"/>
      <c r="R12" s="200"/>
      <c r="S12" s="200"/>
      <c r="T12" s="200"/>
    </row>
    <row r="13" ht="13.5" customHeight="1">
      <c r="A13" s="201" t="s">
        <v>207</v>
      </c>
      <c r="B13" s="201" t="s">
        <v>116</v>
      </c>
      <c r="C13" s="201" t="s">
        <v>106</v>
      </c>
      <c r="D13" s="201">
        <v>0.6248</v>
      </c>
      <c r="E13" s="201"/>
      <c r="F13" s="201"/>
      <c r="G13" s="202">
        <v>20.0</v>
      </c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</row>
    <row r="14" ht="13.5" customHeight="1">
      <c r="A14" s="201" t="s">
        <v>208</v>
      </c>
      <c r="B14" s="201" t="s">
        <v>116</v>
      </c>
      <c r="C14" s="201" t="s">
        <v>106</v>
      </c>
      <c r="D14" s="201">
        <v>0.6248</v>
      </c>
      <c r="E14" s="201"/>
      <c r="F14" s="201"/>
      <c r="G14" s="202">
        <v>20.0</v>
      </c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</row>
    <row r="15" ht="13.5" customHeight="1">
      <c r="A15" s="201" t="s">
        <v>209</v>
      </c>
      <c r="B15" s="201" t="s">
        <v>116</v>
      </c>
      <c r="C15" s="201" t="s">
        <v>106</v>
      </c>
      <c r="D15" s="201">
        <v>0.6249</v>
      </c>
      <c r="E15" s="201"/>
      <c r="F15" s="201"/>
      <c r="G15" s="202">
        <v>20.0</v>
      </c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</row>
    <row r="16" ht="13.5" customHeight="1">
      <c r="A16" s="201" t="s">
        <v>210</v>
      </c>
      <c r="B16" s="201" t="s">
        <v>133</v>
      </c>
      <c r="C16" s="201" t="s">
        <v>106</v>
      </c>
      <c r="D16" s="201">
        <v>0.2998</v>
      </c>
      <c r="E16" s="201"/>
      <c r="F16" s="201"/>
      <c r="G16" s="202">
        <v>10.0</v>
      </c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200"/>
    </row>
    <row r="17" ht="13.5" customHeight="1">
      <c r="A17" s="201" t="s">
        <v>211</v>
      </c>
      <c r="B17" s="201" t="s">
        <v>136</v>
      </c>
      <c r="C17" s="201" t="s">
        <v>106</v>
      </c>
      <c r="D17" s="201">
        <v>0.6248</v>
      </c>
      <c r="E17" s="201"/>
      <c r="F17" s="201"/>
      <c r="G17" s="202">
        <v>15.0</v>
      </c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200"/>
      <c r="T17" s="200"/>
    </row>
    <row r="18" ht="13.5" customHeight="1">
      <c r="A18" s="201" t="s">
        <v>212</v>
      </c>
      <c r="B18" s="201" t="s">
        <v>140</v>
      </c>
      <c r="C18" s="201" t="s">
        <v>106</v>
      </c>
      <c r="D18" s="201">
        <v>0.489</v>
      </c>
      <c r="E18" s="201"/>
      <c r="F18" s="201"/>
      <c r="G18" s="202">
        <v>15.0</v>
      </c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</row>
    <row r="19" ht="13.5" customHeight="1">
      <c r="A19" s="201" t="s">
        <v>213</v>
      </c>
      <c r="B19" s="201" t="s">
        <v>140</v>
      </c>
      <c r="C19" s="201" t="s">
        <v>106</v>
      </c>
      <c r="D19" s="201">
        <v>0.621</v>
      </c>
      <c r="E19" s="201"/>
      <c r="F19" s="201"/>
      <c r="G19" s="202">
        <v>15.0</v>
      </c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200"/>
      <c r="S19" s="200"/>
      <c r="T19" s="200"/>
    </row>
    <row r="20" ht="13.5" customHeight="1">
      <c r="A20" s="201" t="s">
        <v>214</v>
      </c>
      <c r="B20" s="201" t="s">
        <v>140</v>
      </c>
      <c r="C20" s="201" t="s">
        <v>144</v>
      </c>
      <c r="D20" s="201"/>
      <c r="E20" s="201">
        <v>0.5</v>
      </c>
      <c r="F20" s="201">
        <v>1.074</v>
      </c>
      <c r="G20" s="202">
        <v>15.0</v>
      </c>
      <c r="H20" s="200"/>
      <c r="I20" s="200"/>
      <c r="J20" s="200"/>
      <c r="K20" s="200"/>
      <c r="L20" s="200"/>
      <c r="M20" s="200"/>
      <c r="N20" s="200"/>
      <c r="O20" s="200"/>
      <c r="P20" s="200"/>
      <c r="Q20" s="200"/>
      <c r="R20" s="200"/>
      <c r="S20" s="200"/>
      <c r="T20" s="200"/>
    </row>
    <row r="21" ht="13.5" customHeight="1">
      <c r="A21" s="201" t="s">
        <v>215</v>
      </c>
      <c r="B21" s="201" t="s">
        <v>147</v>
      </c>
      <c r="C21" s="201" t="s">
        <v>144</v>
      </c>
      <c r="D21" s="201"/>
      <c r="E21" s="201">
        <v>3.13</v>
      </c>
      <c r="F21" s="201">
        <v>6.504</v>
      </c>
      <c r="G21" s="202">
        <v>15.0</v>
      </c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</row>
    <row r="22" ht="13.5" customHeight="1">
      <c r="A22" s="201" t="s">
        <v>216</v>
      </c>
      <c r="B22" s="201" t="s">
        <v>147</v>
      </c>
      <c r="C22" s="201" t="s">
        <v>144</v>
      </c>
      <c r="D22" s="201"/>
      <c r="E22" s="201">
        <v>2.556</v>
      </c>
      <c r="F22" s="201">
        <v>4.472</v>
      </c>
      <c r="G22" s="202">
        <v>15.0</v>
      </c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</row>
    <row r="23" ht="13.5" customHeight="1">
      <c r="A23" s="201" t="s">
        <v>217</v>
      </c>
      <c r="B23" s="201" t="s">
        <v>147</v>
      </c>
      <c r="C23" s="201" t="s">
        <v>144</v>
      </c>
      <c r="D23" s="201"/>
      <c r="E23" s="201">
        <v>1.0</v>
      </c>
      <c r="F23" s="201">
        <v>2.032</v>
      </c>
      <c r="G23" s="202">
        <v>15.0</v>
      </c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R23" s="200"/>
      <c r="S23" s="200"/>
      <c r="T23" s="200"/>
    </row>
    <row r="24" ht="13.5" customHeight="1">
      <c r="A24" s="201" t="s">
        <v>218</v>
      </c>
      <c r="B24" s="201" t="s">
        <v>147</v>
      </c>
      <c r="C24" s="201" t="s">
        <v>144</v>
      </c>
      <c r="D24" s="201"/>
      <c r="E24" s="201">
        <v>1.0</v>
      </c>
      <c r="F24" s="201">
        <v>2.032</v>
      </c>
      <c r="G24" s="202">
        <v>15.0</v>
      </c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</row>
    <row r="25" ht="13.5" customHeight="1">
      <c r="A25" s="201" t="s">
        <v>219</v>
      </c>
      <c r="B25" s="201" t="s">
        <v>154</v>
      </c>
      <c r="C25" s="201" t="s">
        <v>106</v>
      </c>
      <c r="D25" s="201">
        <v>0.8447</v>
      </c>
      <c r="E25" s="201"/>
      <c r="F25" s="201"/>
      <c r="G25" s="202">
        <v>10.0</v>
      </c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200"/>
    </row>
    <row r="26" ht="13.5" customHeight="1">
      <c r="A26" s="201" t="s">
        <v>220</v>
      </c>
      <c r="B26" s="201" t="s">
        <v>113</v>
      </c>
      <c r="C26" s="201" t="s">
        <v>106</v>
      </c>
      <c r="D26" s="201">
        <v>0.8475</v>
      </c>
      <c r="E26" s="201"/>
      <c r="F26" s="201"/>
      <c r="G26" s="202">
        <v>10.0</v>
      </c>
      <c r="H26" s="200"/>
      <c r="I26" s="200"/>
      <c r="J26" s="200"/>
      <c r="K26" s="200"/>
      <c r="L26" s="200"/>
      <c r="M26" s="200"/>
      <c r="N26" s="200"/>
      <c r="O26" s="200"/>
      <c r="P26" s="200"/>
      <c r="Q26" s="200"/>
      <c r="R26" s="200"/>
      <c r="S26" s="200"/>
      <c r="T26" s="200"/>
    </row>
    <row r="27" ht="13.5" customHeight="1">
      <c r="A27" s="201" t="s">
        <v>221</v>
      </c>
      <c r="B27" s="201" t="s">
        <v>158</v>
      </c>
      <c r="C27" s="201" t="s">
        <v>106</v>
      </c>
      <c r="D27" s="201">
        <v>0.844675</v>
      </c>
      <c r="E27" s="201"/>
      <c r="F27" s="201"/>
      <c r="G27" s="202">
        <v>10.0</v>
      </c>
      <c r="H27" s="200"/>
      <c r="I27" s="200"/>
      <c r="J27" s="200"/>
      <c r="K27" s="200"/>
      <c r="L27" s="200"/>
      <c r="M27" s="200"/>
      <c r="N27" s="200"/>
      <c r="O27" s="200"/>
      <c r="P27" s="200"/>
      <c r="Q27" s="200"/>
      <c r="R27" s="200"/>
      <c r="S27" s="200"/>
      <c r="T27" s="200"/>
    </row>
    <row r="28" ht="13.5" customHeight="1">
      <c r="A28" s="201" t="s">
        <v>222</v>
      </c>
      <c r="B28" s="201" t="s">
        <v>158</v>
      </c>
      <c r="C28" s="201" t="s">
        <v>144</v>
      </c>
      <c r="D28" s="201"/>
      <c r="E28" s="201">
        <v>4.373</v>
      </c>
      <c r="F28" s="201">
        <v>9.19</v>
      </c>
      <c r="G28" s="202">
        <v>10.0</v>
      </c>
      <c r="H28" s="200"/>
      <c r="I28" s="200"/>
      <c r="J28" s="200"/>
      <c r="K28" s="200"/>
      <c r="L28" s="200"/>
      <c r="M28" s="200"/>
      <c r="N28" s="200"/>
      <c r="O28" s="200"/>
      <c r="P28" s="200"/>
      <c r="Q28" s="200"/>
      <c r="R28" s="200"/>
      <c r="S28" s="200"/>
      <c r="T28" s="200"/>
    </row>
    <row r="29" ht="13.5" customHeight="1">
      <c r="A29" s="201" t="s">
        <v>223</v>
      </c>
      <c r="B29" s="201" t="s">
        <v>154</v>
      </c>
      <c r="C29" s="201" t="s">
        <v>106</v>
      </c>
      <c r="D29" s="201">
        <v>0.845185</v>
      </c>
      <c r="E29" s="201"/>
      <c r="F29" s="201"/>
      <c r="G29" s="202">
        <v>10.0</v>
      </c>
      <c r="H29" s="200"/>
      <c r="I29" s="200"/>
      <c r="J29" s="200"/>
      <c r="K29" s="200"/>
      <c r="L29" s="200"/>
      <c r="M29" s="200"/>
      <c r="N29" s="200"/>
      <c r="O29" s="200"/>
      <c r="P29" s="200"/>
      <c r="Q29" s="200"/>
      <c r="R29" s="200"/>
      <c r="S29" s="200"/>
      <c r="T29" s="200"/>
    </row>
    <row r="30" ht="13.5" customHeight="1">
      <c r="A30" s="201" t="s">
        <v>224</v>
      </c>
      <c r="B30" s="201" t="s">
        <v>164</v>
      </c>
      <c r="C30" s="201" t="s">
        <v>106</v>
      </c>
      <c r="D30" s="201">
        <v>0.84458</v>
      </c>
      <c r="E30" s="201"/>
      <c r="F30" s="201"/>
      <c r="G30" s="202">
        <v>10.0</v>
      </c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0"/>
      <c r="S30" s="200"/>
      <c r="T30" s="200"/>
    </row>
    <row r="31" ht="13.5" customHeight="1">
      <c r="A31" s="201" t="s">
        <v>225</v>
      </c>
      <c r="B31" s="201" t="s">
        <v>164</v>
      </c>
      <c r="C31" s="201" t="s">
        <v>106</v>
      </c>
      <c r="D31" s="201">
        <v>0.84458</v>
      </c>
      <c r="E31" s="201"/>
      <c r="F31" s="201"/>
      <c r="G31" s="202">
        <v>10.0</v>
      </c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</row>
    <row r="32" ht="13.5" customHeight="1">
      <c r="A32" s="201" t="s">
        <v>226</v>
      </c>
      <c r="B32" s="201" t="s">
        <v>168</v>
      </c>
      <c r="C32" s="201" t="s">
        <v>106</v>
      </c>
      <c r="D32" s="201">
        <v>0.845</v>
      </c>
      <c r="E32" s="201"/>
      <c r="F32" s="201"/>
      <c r="G32" s="202">
        <v>25.0</v>
      </c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0"/>
      <c r="T32" s="200"/>
    </row>
    <row r="33" ht="13.5" customHeight="1">
      <c r="A33" s="201" t="s">
        <v>227</v>
      </c>
      <c r="B33" s="201" t="s">
        <v>168</v>
      </c>
      <c r="C33" s="201" t="s">
        <v>106</v>
      </c>
      <c r="D33" s="201">
        <v>0.436</v>
      </c>
      <c r="E33" s="201"/>
      <c r="F33" s="201"/>
      <c r="G33" s="202">
        <v>25.0</v>
      </c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</row>
    <row r="34" ht="13.5" customHeight="1">
      <c r="A34" s="201" t="s">
        <v>228</v>
      </c>
      <c r="B34" s="201" t="s">
        <v>168</v>
      </c>
      <c r="C34" s="201" t="s">
        <v>106</v>
      </c>
      <c r="D34" s="201">
        <v>0.705</v>
      </c>
      <c r="E34" s="201"/>
      <c r="F34" s="201"/>
      <c r="G34" s="202">
        <v>25.0</v>
      </c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R34" s="200"/>
      <c r="S34" s="200"/>
      <c r="T34" s="200"/>
    </row>
    <row r="35" ht="13.5" customHeight="1">
      <c r="A35" s="201" t="s">
        <v>229</v>
      </c>
      <c r="B35" s="201" t="s">
        <v>168</v>
      </c>
      <c r="C35" s="201" t="s">
        <v>106</v>
      </c>
      <c r="D35" s="201">
        <v>0.845</v>
      </c>
      <c r="E35" s="201"/>
      <c r="F35" s="201"/>
      <c r="G35" s="202">
        <v>25.0</v>
      </c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</row>
    <row r="36" ht="13.5" customHeight="1">
      <c r="A36" s="201" t="s">
        <v>230</v>
      </c>
      <c r="B36" s="201" t="s">
        <v>168</v>
      </c>
      <c r="C36" s="201" t="s">
        <v>106</v>
      </c>
      <c r="D36" s="201">
        <v>0.18</v>
      </c>
      <c r="E36" s="201"/>
      <c r="F36" s="201"/>
      <c r="G36" s="202">
        <v>25.0</v>
      </c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</row>
    <row r="37" ht="13.5" customHeight="1">
      <c r="A37" s="201" t="s">
        <v>231</v>
      </c>
      <c r="B37" s="201" t="s">
        <v>168</v>
      </c>
      <c r="C37" s="201" t="s">
        <v>106</v>
      </c>
      <c r="D37" s="201">
        <v>0.845</v>
      </c>
      <c r="E37" s="201"/>
      <c r="F37" s="201"/>
      <c r="G37" s="202">
        <v>25.0</v>
      </c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</row>
    <row r="38" ht="13.5" customHeight="1">
      <c r="A38" s="201" t="s">
        <v>232</v>
      </c>
      <c r="B38" s="201" t="s">
        <v>168</v>
      </c>
      <c r="C38" s="201" t="s">
        <v>106</v>
      </c>
      <c r="D38" s="201">
        <v>0.845</v>
      </c>
      <c r="E38" s="201"/>
      <c r="F38" s="201"/>
      <c r="G38" s="202">
        <v>25.0</v>
      </c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</row>
    <row r="39" ht="13.5" customHeight="1">
      <c r="A39" s="201" t="s">
        <v>233</v>
      </c>
      <c r="B39" s="201" t="s">
        <v>168</v>
      </c>
      <c r="C39" s="201" t="s">
        <v>106</v>
      </c>
      <c r="D39" s="201">
        <v>0.63</v>
      </c>
      <c r="E39" s="201"/>
      <c r="F39" s="201"/>
      <c r="G39" s="202">
        <v>25.0</v>
      </c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</row>
    <row r="40" ht="13.5" customHeight="1">
      <c r="A40" s="201" t="s">
        <v>234</v>
      </c>
      <c r="B40" s="201" t="s">
        <v>168</v>
      </c>
      <c r="C40" s="201" t="s">
        <v>106</v>
      </c>
      <c r="D40" s="201">
        <v>0.78</v>
      </c>
      <c r="E40" s="201"/>
      <c r="F40" s="201"/>
      <c r="G40" s="202">
        <v>25.0</v>
      </c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</row>
    <row r="41" ht="13.5" customHeight="1">
      <c r="A41" s="201" t="s">
        <v>235</v>
      </c>
      <c r="B41" s="201" t="s">
        <v>168</v>
      </c>
      <c r="C41" s="201" t="s">
        <v>106</v>
      </c>
      <c r="D41" s="201">
        <v>0.845</v>
      </c>
      <c r="E41" s="201"/>
      <c r="F41" s="201"/>
      <c r="G41" s="202">
        <v>25.0</v>
      </c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</row>
    <row r="42" ht="13.5" customHeight="1">
      <c r="A42" s="201" t="s">
        <v>236</v>
      </c>
      <c r="B42" s="201" t="s">
        <v>168</v>
      </c>
      <c r="C42" s="201" t="s">
        <v>106</v>
      </c>
      <c r="D42" s="201">
        <v>0.44</v>
      </c>
      <c r="E42" s="201"/>
      <c r="F42" s="201"/>
      <c r="G42" s="202">
        <v>25.0</v>
      </c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</row>
    <row r="43" ht="13.5" customHeight="1">
      <c r="A43" s="201" t="s">
        <v>237</v>
      </c>
      <c r="B43" s="201" t="s">
        <v>168</v>
      </c>
      <c r="C43" s="201" t="s">
        <v>106</v>
      </c>
      <c r="D43" s="201">
        <v>0.44</v>
      </c>
      <c r="E43" s="201"/>
      <c r="F43" s="201"/>
      <c r="G43" s="202">
        <v>25.0</v>
      </c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</row>
    <row r="44" ht="13.5" customHeight="1">
      <c r="A44" s="201" t="s">
        <v>238</v>
      </c>
      <c r="B44" s="201" t="s">
        <v>168</v>
      </c>
      <c r="C44" s="201" t="s">
        <v>106</v>
      </c>
      <c r="D44" s="201">
        <v>0.845</v>
      </c>
      <c r="E44" s="201"/>
      <c r="F44" s="201"/>
      <c r="G44" s="202">
        <v>25.0</v>
      </c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</row>
    <row r="45" ht="13.5" customHeight="1">
      <c r="A45" s="201" t="s">
        <v>239</v>
      </c>
      <c r="B45" s="201" t="s">
        <v>168</v>
      </c>
      <c r="C45" s="201" t="s">
        <v>106</v>
      </c>
      <c r="D45" s="201">
        <v>0.845</v>
      </c>
      <c r="E45" s="201"/>
      <c r="F45" s="201"/>
      <c r="G45" s="202">
        <v>25.0</v>
      </c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</row>
    <row r="46" ht="13.5" customHeight="1">
      <c r="A46" s="201" t="s">
        <v>240</v>
      </c>
      <c r="B46" s="201" t="s">
        <v>168</v>
      </c>
      <c r="C46" s="201" t="s">
        <v>106</v>
      </c>
      <c r="D46" s="201">
        <v>0.845</v>
      </c>
      <c r="E46" s="201"/>
      <c r="F46" s="201"/>
      <c r="G46" s="202">
        <v>25.0</v>
      </c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</row>
    <row r="47" ht="13.5" customHeight="1">
      <c r="A47" s="203" t="s">
        <v>241</v>
      </c>
      <c r="B47" s="203" t="s">
        <v>241</v>
      </c>
      <c r="C47" s="203" t="s">
        <v>106</v>
      </c>
      <c r="D47" s="203">
        <v>0.845</v>
      </c>
      <c r="E47" s="203"/>
      <c r="F47" s="203"/>
      <c r="G47" s="204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</row>
    <row r="48" ht="13.5" customHeight="1">
      <c r="A48" s="203" t="s">
        <v>242</v>
      </c>
      <c r="B48" s="203" t="s">
        <v>242</v>
      </c>
      <c r="C48" s="203" t="s">
        <v>106</v>
      </c>
      <c r="D48" s="203">
        <v>0.845</v>
      </c>
      <c r="E48" s="203"/>
      <c r="F48" s="203"/>
      <c r="G48" s="204"/>
      <c r="H48" s="205"/>
      <c r="I48" s="205"/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5"/>
    </row>
    <row r="49" ht="13.5" customHeight="1">
      <c r="A49" s="203" t="s">
        <v>243</v>
      </c>
      <c r="B49" s="203"/>
      <c r="C49" s="203" t="s">
        <v>106</v>
      </c>
      <c r="D49" s="203">
        <v>0.845</v>
      </c>
      <c r="E49" s="203"/>
      <c r="F49" s="203"/>
      <c r="G49" s="204"/>
      <c r="H49" s="205"/>
      <c r="I49" s="205"/>
      <c r="J49" s="205"/>
      <c r="K49" s="205"/>
      <c r="L49" s="205"/>
      <c r="M49" s="205"/>
      <c r="N49" s="205"/>
      <c r="O49" s="205"/>
      <c r="P49" s="205"/>
      <c r="Q49" s="205"/>
      <c r="R49" s="205"/>
      <c r="S49" s="205"/>
      <c r="T49" s="205"/>
    </row>
    <row r="50" ht="13.5" customHeight="1">
      <c r="A50" s="203" t="s">
        <v>244</v>
      </c>
      <c r="B50" s="203"/>
      <c r="C50" s="203" t="s">
        <v>106</v>
      </c>
      <c r="D50" s="203">
        <v>0.845</v>
      </c>
      <c r="E50" s="203"/>
      <c r="F50" s="203"/>
      <c r="G50" s="204"/>
      <c r="H50" s="205"/>
      <c r="I50" s="205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</row>
    <row r="51" ht="13.5" customHeight="1">
      <c r="A51" s="203" t="s">
        <v>245</v>
      </c>
      <c r="B51" s="203"/>
      <c r="C51" s="203" t="s">
        <v>106</v>
      </c>
      <c r="D51" s="203">
        <v>0.845</v>
      </c>
      <c r="E51" s="203"/>
      <c r="F51" s="203"/>
      <c r="G51" s="204"/>
      <c r="H51" s="205"/>
      <c r="I51" s="205"/>
      <c r="J51" s="205"/>
      <c r="K51" s="205"/>
      <c r="L51" s="205"/>
      <c r="M51" s="205"/>
      <c r="N51" s="205"/>
      <c r="O51" s="205"/>
      <c r="P51" s="205"/>
      <c r="Q51" s="205"/>
      <c r="R51" s="205"/>
      <c r="S51" s="205"/>
      <c r="T51" s="205"/>
    </row>
    <row r="52" ht="13.5" customHeight="1">
      <c r="A52" s="203" t="s">
        <v>246</v>
      </c>
      <c r="B52" s="203"/>
      <c r="C52" s="203" t="s">
        <v>106</v>
      </c>
      <c r="D52" s="203">
        <v>0.845</v>
      </c>
      <c r="E52" s="203"/>
      <c r="F52" s="203"/>
      <c r="G52" s="204"/>
      <c r="H52" s="205"/>
      <c r="I52" s="205"/>
      <c r="J52" s="205"/>
      <c r="K52" s="205"/>
      <c r="L52" s="205"/>
      <c r="M52" s="205"/>
      <c r="N52" s="205"/>
      <c r="O52" s="205"/>
      <c r="P52" s="205"/>
      <c r="Q52" s="205"/>
      <c r="R52" s="205"/>
      <c r="S52" s="205"/>
      <c r="T52" s="205"/>
    </row>
    <row r="53" ht="13.5" customHeight="1">
      <c r="A53" s="203" t="s">
        <v>247</v>
      </c>
      <c r="B53" s="203"/>
      <c r="C53" s="203" t="s">
        <v>106</v>
      </c>
      <c r="D53" s="203">
        <v>0.845</v>
      </c>
      <c r="E53" s="203"/>
      <c r="F53" s="203"/>
      <c r="G53" s="204"/>
      <c r="H53" s="205"/>
      <c r="I53" s="205"/>
      <c r="J53" s="205"/>
      <c r="K53" s="205"/>
      <c r="L53" s="205"/>
      <c r="M53" s="205"/>
      <c r="N53" s="205"/>
      <c r="O53" s="205"/>
      <c r="P53" s="205"/>
      <c r="Q53" s="205"/>
      <c r="R53" s="205"/>
      <c r="S53" s="205"/>
      <c r="T53" s="205"/>
    </row>
    <row r="54" ht="13.5" customHeight="1">
      <c r="A54" s="200"/>
      <c r="B54" s="200"/>
      <c r="C54" s="200"/>
      <c r="D54" s="200"/>
      <c r="E54" s="200"/>
      <c r="F54" s="200"/>
      <c r="G54" s="200"/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</row>
    <row r="55" ht="13.5" customHeight="1">
      <c r="A55" s="200"/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</row>
    <row r="56" ht="13.5" customHeight="1">
      <c r="A56" s="200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</row>
    <row r="57" ht="13.5" customHeight="1">
      <c r="A57" s="200"/>
      <c r="B57" s="200"/>
      <c r="C57" s="200"/>
      <c r="D57" s="200"/>
      <c r="E57" s="200"/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</row>
    <row r="58" ht="13.5" customHeight="1">
      <c r="A58" s="200"/>
      <c r="B58" s="200"/>
      <c r="C58" s="200"/>
      <c r="D58" s="200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</row>
    <row r="59" ht="13.5" customHeight="1">
      <c r="A59" s="200"/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</row>
    <row r="60" ht="13.5" customHeight="1">
      <c r="A60" s="200"/>
      <c r="B60" s="200"/>
      <c r="C60" s="200"/>
      <c r="D60" s="200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</row>
    <row r="61" ht="13.5" customHeight="1">
      <c r="A61" s="200"/>
      <c r="B61" s="200"/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</row>
    <row r="62" ht="13.5" customHeight="1">
      <c r="A62" s="200"/>
      <c r="B62" s="200"/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</row>
    <row r="63" ht="13.5" customHeight="1">
      <c r="A63" s="200"/>
      <c r="B63" s="200"/>
      <c r="C63" s="200"/>
      <c r="D63" s="200"/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</row>
    <row r="64" ht="13.5" customHeight="1">
      <c r="A64" s="200"/>
      <c r="B64" s="200"/>
      <c r="C64" s="200"/>
      <c r="D64" s="200"/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</row>
    <row r="65" ht="13.5" customHeight="1">
      <c r="A65" s="200"/>
      <c r="B65" s="200"/>
      <c r="C65" s="200"/>
      <c r="D65" s="200"/>
      <c r="E65" s="200"/>
      <c r="F65" s="200"/>
      <c r="G65" s="20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</row>
    <row r="66" ht="13.5" customHeight="1">
      <c r="A66" s="200"/>
      <c r="B66" s="200"/>
      <c r="C66" s="200"/>
      <c r="D66" s="200"/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</row>
    <row r="67" ht="13.5" customHeight="1">
      <c r="A67" s="200"/>
      <c r="B67" s="200"/>
      <c r="C67" s="200"/>
      <c r="D67" s="200"/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</row>
    <row r="68" ht="13.5" customHeight="1">
      <c r="A68" s="200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</row>
    <row r="69" ht="13.5" customHeight="1">
      <c r="A69" s="200"/>
      <c r="B69" s="200"/>
      <c r="C69" s="200"/>
      <c r="D69" s="200"/>
      <c r="E69" s="200"/>
      <c r="F69" s="200"/>
      <c r="G69" s="200"/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</row>
    <row r="70" ht="13.5" customHeight="1">
      <c r="A70" s="200"/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</row>
    <row r="71" ht="13.5" customHeight="1">
      <c r="A71" s="200"/>
      <c r="B71" s="200"/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</row>
    <row r="72" ht="13.5" customHeight="1">
      <c r="A72" s="200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</row>
    <row r="73" ht="13.5" customHeight="1">
      <c r="A73" s="200"/>
      <c r="B73" s="200"/>
      <c r="C73" s="200"/>
      <c r="D73" s="200"/>
      <c r="E73" s="200"/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</row>
    <row r="74" ht="13.5" customHeight="1">
      <c r="A74" s="200"/>
      <c r="B74" s="200"/>
      <c r="C74" s="200"/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</row>
    <row r="75" ht="13.5" customHeight="1">
      <c r="A75" s="200"/>
      <c r="B75" s="200"/>
      <c r="C75" s="200"/>
      <c r="D75" s="200"/>
      <c r="E75" s="200"/>
      <c r="F75" s="200"/>
      <c r="G75" s="200"/>
      <c r="H75" s="200"/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</row>
    <row r="76" ht="13.5" customHeight="1">
      <c r="A76" s="200"/>
      <c r="B76" s="200"/>
      <c r="C76" s="200"/>
      <c r="D76" s="200"/>
      <c r="E76" s="200"/>
      <c r="F76" s="200"/>
      <c r="G76" s="200"/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</row>
    <row r="77" ht="13.5" customHeight="1">
      <c r="A77" s="200"/>
      <c r="B77" s="200"/>
      <c r="C77" s="200"/>
      <c r="D77" s="200"/>
      <c r="E77" s="200"/>
      <c r="F77" s="200"/>
      <c r="G77" s="200"/>
      <c r="H77" s="200"/>
      <c r="I77" s="200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200"/>
    </row>
    <row r="78" ht="13.5" customHeight="1">
      <c r="A78" s="200"/>
      <c r="B78" s="200"/>
      <c r="C78" s="200"/>
      <c r="D78" s="200"/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</row>
    <row r="79" ht="13.5" customHeight="1">
      <c r="A79" s="200"/>
      <c r="B79" s="200"/>
      <c r="C79" s="200"/>
      <c r="D79" s="200"/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</row>
    <row r="80" ht="13.5" customHeight="1">
      <c r="A80" s="200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</row>
    <row r="81" ht="13.5" customHeight="1">
      <c r="A81" s="200"/>
      <c r="B81" s="200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</row>
    <row r="82" ht="13.5" customHeight="1">
      <c r="A82" s="200"/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</row>
    <row r="83" ht="13.5" customHeight="1">
      <c r="A83" s="200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</row>
    <row r="84" ht="13.5" customHeight="1">
      <c r="A84" s="200"/>
      <c r="B84" s="200"/>
      <c r="C84" s="200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</row>
    <row r="85" ht="13.5" customHeight="1">
      <c r="A85" s="200"/>
      <c r="B85" s="200"/>
      <c r="C85" s="200"/>
      <c r="D85" s="200"/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</row>
    <row r="86" ht="13.5" customHeight="1">
      <c r="A86" s="200"/>
      <c r="B86" s="200"/>
      <c r="C86" s="200"/>
      <c r="D86" s="200"/>
      <c r="E86" s="200"/>
      <c r="F86" s="200"/>
      <c r="G86" s="200"/>
      <c r="H86" s="200"/>
      <c r="I86" s="200"/>
      <c r="J86" s="200"/>
      <c r="K86" s="200"/>
      <c r="L86" s="200"/>
      <c r="M86" s="200"/>
      <c r="N86" s="200"/>
      <c r="O86" s="200"/>
      <c r="P86" s="200"/>
      <c r="Q86" s="200"/>
      <c r="R86" s="200"/>
      <c r="S86" s="200"/>
      <c r="T86" s="200"/>
    </row>
    <row r="87" ht="13.5" customHeight="1">
      <c r="A87" s="200"/>
      <c r="B87" s="200"/>
      <c r="C87" s="200"/>
      <c r="D87" s="200"/>
      <c r="E87" s="200"/>
      <c r="F87" s="200"/>
      <c r="G87" s="200"/>
      <c r="H87" s="200"/>
      <c r="I87" s="200"/>
      <c r="J87" s="200"/>
      <c r="K87" s="200"/>
      <c r="L87" s="200"/>
      <c r="M87" s="200"/>
      <c r="N87" s="200"/>
      <c r="O87" s="200"/>
      <c r="P87" s="200"/>
      <c r="Q87" s="200"/>
      <c r="R87" s="200"/>
      <c r="S87" s="200"/>
      <c r="T87" s="200"/>
    </row>
    <row r="88" ht="13.5" customHeight="1">
      <c r="A88" s="200"/>
      <c r="B88" s="200"/>
      <c r="C88" s="200"/>
      <c r="D88" s="200"/>
      <c r="E88" s="200"/>
      <c r="F88" s="200"/>
      <c r="G88" s="200"/>
      <c r="H88" s="200"/>
      <c r="I88" s="200"/>
      <c r="J88" s="200"/>
      <c r="K88" s="200"/>
      <c r="L88" s="200"/>
      <c r="M88" s="200"/>
      <c r="N88" s="200"/>
      <c r="O88" s="200"/>
      <c r="P88" s="200"/>
      <c r="Q88" s="200"/>
      <c r="R88" s="200"/>
      <c r="S88" s="200"/>
      <c r="T88" s="200"/>
    </row>
    <row r="89" ht="13.5" customHeight="1">
      <c r="A89" s="200"/>
      <c r="B89" s="200"/>
      <c r="C89" s="200"/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</row>
    <row r="90" ht="13.5" customHeight="1">
      <c r="A90" s="200"/>
      <c r="B90" s="200"/>
      <c r="C90" s="200"/>
      <c r="D90" s="200"/>
      <c r="E90" s="200"/>
      <c r="F90" s="200"/>
      <c r="G90" s="200"/>
      <c r="H90" s="200"/>
      <c r="I90" s="200"/>
      <c r="J90" s="200"/>
      <c r="K90" s="200"/>
      <c r="L90" s="200"/>
      <c r="M90" s="200"/>
      <c r="N90" s="200"/>
      <c r="O90" s="200"/>
      <c r="P90" s="200"/>
      <c r="Q90" s="200"/>
      <c r="R90" s="200"/>
      <c r="S90" s="200"/>
      <c r="T90" s="200"/>
    </row>
    <row r="91" ht="13.5" customHeight="1">
      <c r="A91" s="200"/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  <c r="M91" s="200"/>
      <c r="N91" s="200"/>
      <c r="O91" s="200"/>
      <c r="P91" s="200"/>
      <c r="Q91" s="200"/>
      <c r="R91" s="200"/>
      <c r="S91" s="200"/>
      <c r="T91" s="200"/>
    </row>
    <row r="92" ht="13.5" customHeight="1">
      <c r="A92" s="200"/>
      <c r="B92" s="200"/>
      <c r="C92" s="200"/>
      <c r="D92" s="200"/>
      <c r="E92" s="200"/>
      <c r="F92" s="200"/>
      <c r="G92" s="200"/>
      <c r="H92" s="200"/>
      <c r="I92" s="200"/>
      <c r="J92" s="200"/>
      <c r="K92" s="200"/>
      <c r="L92" s="200"/>
      <c r="M92" s="200"/>
      <c r="N92" s="200"/>
      <c r="O92" s="200"/>
      <c r="P92" s="200"/>
      <c r="Q92" s="200"/>
      <c r="R92" s="200"/>
      <c r="S92" s="200"/>
      <c r="T92" s="200"/>
    </row>
    <row r="93" ht="13.5" customHeight="1">
      <c r="A93" s="200"/>
      <c r="B93" s="200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</row>
    <row r="94" ht="13.5" customHeight="1">
      <c r="A94" s="200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</row>
    <row r="95" ht="13.5" customHeight="1">
      <c r="A95" s="200"/>
      <c r="B95" s="200"/>
      <c r="C95" s="200"/>
      <c r="D95" s="200"/>
      <c r="E95" s="200"/>
      <c r="F95" s="200"/>
      <c r="G95" s="200"/>
      <c r="H95" s="200"/>
      <c r="I95" s="200"/>
      <c r="J95" s="200"/>
      <c r="K95" s="200"/>
      <c r="L95" s="200"/>
      <c r="M95" s="200"/>
      <c r="N95" s="200"/>
      <c r="O95" s="200"/>
      <c r="P95" s="200"/>
      <c r="Q95" s="200"/>
      <c r="R95" s="200"/>
      <c r="S95" s="200"/>
      <c r="T95" s="200"/>
    </row>
    <row r="96" ht="13.5" customHeight="1">
      <c r="A96" s="200"/>
      <c r="B96" s="200"/>
      <c r="C96" s="200"/>
      <c r="D96" s="200"/>
      <c r="E96" s="200"/>
      <c r="F96" s="200"/>
      <c r="G96" s="200"/>
      <c r="H96" s="200"/>
      <c r="I96" s="200"/>
      <c r="J96" s="200"/>
      <c r="K96" s="200"/>
      <c r="L96" s="200"/>
      <c r="M96" s="200"/>
      <c r="N96" s="200"/>
      <c r="O96" s="200"/>
      <c r="P96" s="200"/>
      <c r="Q96" s="200"/>
      <c r="R96" s="200"/>
      <c r="S96" s="200"/>
      <c r="T96" s="200"/>
    </row>
    <row r="97" ht="13.5" customHeight="1">
      <c r="A97" s="200"/>
      <c r="B97" s="200"/>
      <c r="C97" s="200"/>
      <c r="D97" s="200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200"/>
      <c r="P97" s="200"/>
      <c r="Q97" s="200"/>
      <c r="R97" s="200"/>
      <c r="S97" s="200"/>
      <c r="T97" s="200"/>
    </row>
    <row r="98" ht="13.5" customHeight="1">
      <c r="A98" s="200"/>
      <c r="B98" s="200"/>
      <c r="C98" s="200"/>
      <c r="D98" s="200"/>
      <c r="E98" s="200"/>
      <c r="F98" s="200"/>
      <c r="G98" s="200"/>
      <c r="H98" s="200"/>
      <c r="I98" s="200"/>
      <c r="J98" s="200"/>
      <c r="K98" s="200"/>
      <c r="L98" s="200"/>
      <c r="M98" s="200"/>
      <c r="N98" s="200"/>
      <c r="O98" s="200"/>
      <c r="P98" s="200"/>
      <c r="Q98" s="200"/>
      <c r="R98" s="200"/>
      <c r="S98" s="200"/>
      <c r="T98" s="200"/>
    </row>
    <row r="99" ht="13.5" customHeight="1">
      <c r="A99" s="200"/>
      <c r="B99" s="200"/>
      <c r="C99" s="200"/>
      <c r="D99" s="200"/>
      <c r="E99" s="200"/>
      <c r="F99" s="200"/>
      <c r="G99" s="200"/>
      <c r="H99" s="200"/>
      <c r="I99" s="200"/>
      <c r="J99" s="200"/>
      <c r="K99" s="200"/>
      <c r="L99" s="200"/>
      <c r="M99" s="200"/>
      <c r="N99" s="200"/>
      <c r="O99" s="200"/>
      <c r="P99" s="200"/>
      <c r="Q99" s="200"/>
      <c r="R99" s="200"/>
      <c r="S99" s="200"/>
      <c r="T99" s="200"/>
    </row>
    <row r="100" ht="13.5" customHeight="1">
      <c r="A100" s="200"/>
      <c r="B100" s="200"/>
      <c r="C100" s="200"/>
      <c r="D100" s="200"/>
      <c r="E100" s="200"/>
      <c r="F100" s="200"/>
      <c r="G100" s="200"/>
      <c r="H100" s="200"/>
      <c r="I100" s="200"/>
      <c r="J100" s="200"/>
      <c r="K100" s="200"/>
      <c r="L100" s="200"/>
      <c r="M100" s="200"/>
      <c r="N100" s="200"/>
      <c r="O100" s="200"/>
      <c r="P100" s="200"/>
      <c r="Q100" s="200"/>
      <c r="R100" s="200"/>
      <c r="S100" s="200"/>
      <c r="T100" s="200"/>
    </row>
    <row r="101" ht="13.5" customHeight="1">
      <c r="A101" s="200"/>
      <c r="B101" s="200"/>
      <c r="C101" s="200"/>
      <c r="D101" s="200"/>
      <c r="E101" s="200"/>
      <c r="F101" s="200"/>
      <c r="G101" s="200"/>
      <c r="H101" s="200"/>
      <c r="I101" s="200"/>
      <c r="J101" s="200"/>
      <c r="K101" s="200"/>
      <c r="L101" s="200"/>
      <c r="M101" s="200"/>
      <c r="N101" s="200"/>
      <c r="O101" s="200"/>
      <c r="P101" s="200"/>
      <c r="Q101" s="200"/>
      <c r="R101" s="200"/>
      <c r="S101" s="200"/>
      <c r="T101" s="200"/>
    </row>
    <row r="102" ht="13.5" customHeight="1">
      <c r="A102" s="200"/>
      <c r="B102" s="200"/>
      <c r="C102" s="200"/>
      <c r="D102" s="200"/>
      <c r="E102" s="200"/>
      <c r="F102" s="200"/>
      <c r="G102" s="200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</row>
    <row r="103" ht="13.5" customHeight="1">
      <c r="A103" s="200"/>
      <c r="B103" s="200"/>
      <c r="C103" s="200"/>
      <c r="D103" s="200"/>
      <c r="E103" s="200"/>
      <c r="F103" s="200"/>
      <c r="G103" s="200"/>
      <c r="H103" s="200"/>
      <c r="I103" s="200"/>
      <c r="J103" s="200"/>
      <c r="K103" s="200"/>
      <c r="L103" s="200"/>
      <c r="M103" s="200"/>
      <c r="N103" s="200"/>
      <c r="O103" s="200"/>
      <c r="P103" s="200"/>
      <c r="Q103" s="200"/>
      <c r="R103" s="200"/>
      <c r="S103" s="200"/>
      <c r="T103" s="200"/>
    </row>
    <row r="104" ht="13.5" customHeight="1">
      <c r="A104" s="200"/>
      <c r="B104" s="200"/>
      <c r="C104" s="200"/>
      <c r="D104" s="200"/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00"/>
      <c r="Q104" s="200"/>
      <c r="R104" s="200"/>
      <c r="S104" s="200"/>
      <c r="T104" s="200"/>
    </row>
    <row r="105" ht="13.5" customHeight="1">
      <c r="A105" s="200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</row>
    <row r="106" ht="13.5" customHeight="1">
      <c r="A106" s="200"/>
      <c r="B106" s="200"/>
      <c r="C106" s="200"/>
      <c r="D106" s="200"/>
      <c r="E106" s="200"/>
      <c r="F106" s="200"/>
      <c r="G106" s="200"/>
      <c r="H106" s="200"/>
      <c r="I106" s="200"/>
      <c r="J106" s="200"/>
      <c r="K106" s="200"/>
      <c r="L106" s="200"/>
      <c r="M106" s="200"/>
      <c r="N106" s="200"/>
      <c r="O106" s="200"/>
      <c r="P106" s="200"/>
      <c r="Q106" s="200"/>
      <c r="R106" s="200"/>
      <c r="S106" s="200"/>
      <c r="T106" s="200"/>
    </row>
    <row r="107" ht="13.5" customHeight="1">
      <c r="A107" s="200"/>
      <c r="B107" s="200"/>
      <c r="C107" s="200"/>
      <c r="D107" s="200"/>
      <c r="E107" s="200"/>
      <c r="F107" s="200"/>
      <c r="G107" s="200"/>
      <c r="H107" s="200"/>
      <c r="I107" s="200"/>
      <c r="J107" s="200"/>
      <c r="K107" s="200"/>
      <c r="L107" s="200"/>
      <c r="M107" s="200"/>
      <c r="N107" s="200"/>
      <c r="O107" s="200"/>
      <c r="P107" s="200"/>
      <c r="Q107" s="200"/>
      <c r="R107" s="200"/>
      <c r="S107" s="200"/>
      <c r="T107" s="200"/>
    </row>
    <row r="108" ht="13.5" customHeight="1">
      <c r="A108" s="200"/>
      <c r="B108" s="200"/>
      <c r="C108" s="200"/>
      <c r="D108" s="200"/>
      <c r="E108" s="200"/>
      <c r="F108" s="200"/>
      <c r="G108" s="200"/>
      <c r="H108" s="200"/>
      <c r="I108" s="200"/>
      <c r="J108" s="200"/>
      <c r="K108" s="200"/>
      <c r="L108" s="200"/>
      <c r="M108" s="200"/>
      <c r="N108" s="200"/>
      <c r="O108" s="200"/>
      <c r="P108" s="200"/>
      <c r="Q108" s="200"/>
      <c r="R108" s="200"/>
      <c r="S108" s="200"/>
      <c r="T108" s="200"/>
    </row>
    <row r="109" ht="13.5" customHeight="1">
      <c r="A109" s="200"/>
      <c r="B109" s="200"/>
      <c r="C109" s="200"/>
      <c r="D109" s="200"/>
      <c r="E109" s="200"/>
      <c r="F109" s="200"/>
      <c r="G109" s="200"/>
      <c r="H109" s="200"/>
      <c r="I109" s="200"/>
      <c r="J109" s="200"/>
      <c r="K109" s="200"/>
      <c r="L109" s="200"/>
      <c r="M109" s="200"/>
      <c r="N109" s="200"/>
      <c r="O109" s="200"/>
      <c r="P109" s="200"/>
      <c r="Q109" s="200"/>
      <c r="R109" s="200"/>
      <c r="S109" s="200"/>
      <c r="T109" s="200"/>
    </row>
    <row r="110" ht="13.5" customHeight="1">
      <c r="A110" s="200"/>
      <c r="B110" s="200"/>
      <c r="C110" s="200"/>
      <c r="D110" s="200"/>
      <c r="E110" s="200"/>
      <c r="F110" s="200"/>
      <c r="G110" s="200"/>
      <c r="H110" s="200"/>
      <c r="I110" s="200"/>
      <c r="J110" s="200"/>
      <c r="K110" s="200"/>
      <c r="L110" s="200"/>
      <c r="M110" s="200"/>
      <c r="N110" s="200"/>
      <c r="O110" s="200"/>
      <c r="P110" s="200"/>
      <c r="Q110" s="200"/>
      <c r="R110" s="200"/>
      <c r="S110" s="200"/>
      <c r="T110" s="200"/>
    </row>
    <row r="111" ht="13.5" customHeight="1">
      <c r="A111" s="200"/>
      <c r="B111" s="200"/>
      <c r="C111" s="200"/>
      <c r="D111" s="200"/>
      <c r="E111" s="200"/>
      <c r="F111" s="200"/>
      <c r="G111" s="200"/>
      <c r="H111" s="200"/>
      <c r="I111" s="200"/>
      <c r="J111" s="200"/>
      <c r="K111" s="200"/>
      <c r="L111" s="200"/>
      <c r="M111" s="200"/>
      <c r="N111" s="200"/>
      <c r="O111" s="200"/>
      <c r="P111" s="200"/>
      <c r="Q111" s="200"/>
      <c r="R111" s="200"/>
      <c r="S111" s="200"/>
      <c r="T111" s="200"/>
    </row>
    <row r="112" ht="13.5" customHeight="1">
      <c r="A112" s="200"/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</row>
    <row r="113" ht="13.5" customHeight="1">
      <c r="A113" s="200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200"/>
      <c r="P113" s="200"/>
      <c r="Q113" s="200"/>
      <c r="R113" s="200"/>
      <c r="S113" s="200"/>
      <c r="T113" s="200"/>
    </row>
    <row r="114" ht="13.5" customHeight="1">
      <c r="A114" s="200"/>
      <c r="B114" s="200"/>
      <c r="C114" s="200"/>
      <c r="D114" s="200"/>
      <c r="E114" s="200"/>
      <c r="F114" s="200"/>
      <c r="G114" s="200"/>
      <c r="H114" s="200"/>
      <c r="I114" s="200"/>
      <c r="J114" s="200"/>
      <c r="K114" s="200"/>
      <c r="L114" s="200"/>
      <c r="M114" s="200"/>
      <c r="N114" s="200"/>
      <c r="O114" s="200"/>
      <c r="P114" s="200"/>
      <c r="Q114" s="200"/>
      <c r="R114" s="200"/>
      <c r="S114" s="200"/>
      <c r="T114" s="200"/>
    </row>
    <row r="115" ht="13.5" customHeight="1">
      <c r="A115" s="200"/>
      <c r="B115" s="200"/>
      <c r="C115" s="200"/>
      <c r="D115" s="200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</row>
    <row r="116" ht="13.5" customHeight="1">
      <c r="A116" s="200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</row>
    <row r="117" ht="13.5" customHeight="1">
      <c r="A117" s="200"/>
      <c r="B117" s="200"/>
      <c r="C117" s="200"/>
      <c r="D117" s="200"/>
      <c r="E117" s="200"/>
      <c r="F117" s="200"/>
      <c r="G117" s="200"/>
      <c r="H117" s="200"/>
      <c r="I117" s="200"/>
      <c r="J117" s="200"/>
      <c r="K117" s="200"/>
      <c r="L117" s="200"/>
      <c r="M117" s="200"/>
      <c r="N117" s="200"/>
      <c r="O117" s="200"/>
      <c r="P117" s="200"/>
      <c r="Q117" s="200"/>
      <c r="R117" s="200"/>
      <c r="S117" s="200"/>
      <c r="T117" s="200"/>
    </row>
    <row r="118" ht="13.5" customHeight="1">
      <c r="A118" s="200"/>
      <c r="B118" s="200"/>
      <c r="C118" s="200"/>
      <c r="D118" s="200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</row>
    <row r="119" ht="13.5" customHeight="1">
      <c r="A119" s="200"/>
      <c r="B119" s="200"/>
      <c r="C119" s="200"/>
      <c r="D119" s="200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00"/>
      <c r="Q119" s="200"/>
      <c r="R119" s="200"/>
      <c r="S119" s="200"/>
      <c r="T119" s="200"/>
    </row>
    <row r="120" ht="13.5" customHeight="1">
      <c r="A120" s="200"/>
      <c r="B120" s="200"/>
      <c r="C120" s="200"/>
      <c r="D120" s="200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200"/>
    </row>
    <row r="121" ht="13.5" customHeight="1">
      <c r="A121" s="200"/>
      <c r="B121" s="200"/>
      <c r="C121" s="200"/>
      <c r="D121" s="200"/>
      <c r="E121" s="200"/>
      <c r="F121" s="200"/>
      <c r="G121" s="200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</row>
    <row r="122" ht="13.5" customHeight="1">
      <c r="A122" s="200"/>
      <c r="B122" s="200"/>
      <c r="C122" s="200"/>
      <c r="D122" s="200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</row>
    <row r="123" ht="13.5" customHeight="1">
      <c r="A123" s="200"/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200"/>
      <c r="T123" s="200"/>
    </row>
    <row r="124" ht="13.5" customHeight="1">
      <c r="A124" s="200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200"/>
      <c r="T124" s="200"/>
    </row>
    <row r="125" ht="13.5" customHeight="1">
      <c r="A125" s="200"/>
      <c r="B125" s="200"/>
      <c r="C125" s="200"/>
      <c r="D125" s="200"/>
      <c r="E125" s="200"/>
      <c r="F125" s="200"/>
      <c r="G125" s="200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</row>
    <row r="126" ht="13.5" customHeight="1">
      <c r="A126" s="200"/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</row>
    <row r="127" ht="13.5" customHeight="1">
      <c r="A127" s="200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</row>
    <row r="128" ht="13.5" customHeight="1">
      <c r="A128" s="200"/>
      <c r="B128" s="200"/>
      <c r="C128" s="200"/>
      <c r="D128" s="200"/>
      <c r="E128" s="200"/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R128" s="200"/>
      <c r="S128" s="200"/>
      <c r="T128" s="200"/>
    </row>
    <row r="129" ht="13.5" customHeight="1">
      <c r="A129" s="200"/>
      <c r="B129" s="200"/>
      <c r="C129" s="200"/>
      <c r="D129" s="200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00"/>
      <c r="Q129" s="200"/>
      <c r="R129" s="200"/>
      <c r="S129" s="200"/>
      <c r="T129" s="200"/>
    </row>
    <row r="130" ht="13.5" customHeight="1">
      <c r="A130" s="200"/>
      <c r="B130" s="200"/>
      <c r="C130" s="200"/>
      <c r="D130" s="200"/>
      <c r="E130" s="200"/>
      <c r="F130" s="200"/>
      <c r="G130" s="200"/>
      <c r="H130" s="200"/>
      <c r="I130" s="200"/>
      <c r="J130" s="200"/>
      <c r="K130" s="200"/>
      <c r="L130" s="200"/>
      <c r="M130" s="200"/>
      <c r="N130" s="200"/>
      <c r="O130" s="200"/>
      <c r="P130" s="200"/>
      <c r="Q130" s="200"/>
      <c r="R130" s="200"/>
      <c r="S130" s="200"/>
      <c r="T130" s="200"/>
    </row>
    <row r="131" ht="13.5" customHeight="1">
      <c r="A131" s="200"/>
      <c r="B131" s="200"/>
      <c r="C131" s="200"/>
      <c r="D131" s="200"/>
      <c r="E131" s="200"/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R131" s="200"/>
      <c r="S131" s="200"/>
      <c r="T131" s="200"/>
    </row>
    <row r="132" ht="13.5" customHeight="1">
      <c r="A132" s="200"/>
      <c r="B132" s="200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</row>
    <row r="133" ht="13.5" customHeight="1">
      <c r="A133" s="200"/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</row>
    <row r="134" ht="13.5" customHeight="1">
      <c r="A134" s="200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</row>
    <row r="135" ht="13.5" customHeight="1">
      <c r="A135" s="200"/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200"/>
      <c r="R135" s="200"/>
      <c r="S135" s="200"/>
      <c r="T135" s="200"/>
    </row>
    <row r="136" ht="13.5" customHeight="1">
      <c r="A136" s="200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</row>
    <row r="137" ht="13.5" customHeight="1">
      <c r="A137" s="200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</row>
    <row r="138" ht="13.5" customHeight="1">
      <c r="A138" s="200"/>
      <c r="B138" s="200"/>
      <c r="C138" s="200"/>
      <c r="D138" s="200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R138" s="200"/>
      <c r="S138" s="200"/>
      <c r="T138" s="200"/>
    </row>
    <row r="139" ht="13.5" customHeight="1">
      <c r="A139" s="200"/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</row>
    <row r="140" ht="13.5" customHeight="1">
      <c r="A140" s="200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</row>
    <row r="141" ht="13.5" customHeight="1">
      <c r="A141" s="200"/>
      <c r="B141" s="200"/>
      <c r="C141" s="200"/>
      <c r="D141" s="200"/>
      <c r="E141" s="200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200"/>
      <c r="S141" s="200"/>
      <c r="T141" s="200"/>
    </row>
    <row r="142" ht="13.5" customHeight="1">
      <c r="A142" s="200"/>
      <c r="B142" s="200"/>
      <c r="C142" s="200"/>
      <c r="D142" s="200"/>
      <c r="E142" s="200"/>
      <c r="F142" s="200"/>
      <c r="G142" s="200"/>
      <c r="H142" s="200"/>
      <c r="I142" s="200"/>
      <c r="J142" s="200"/>
      <c r="K142" s="200"/>
      <c r="L142" s="200"/>
      <c r="M142" s="200"/>
      <c r="N142" s="200"/>
      <c r="O142" s="200"/>
      <c r="P142" s="200"/>
      <c r="Q142" s="200"/>
      <c r="R142" s="200"/>
      <c r="S142" s="200"/>
      <c r="T142" s="200"/>
    </row>
    <row r="143" ht="13.5" customHeight="1">
      <c r="A143" s="200"/>
      <c r="B143" s="200"/>
      <c r="C143" s="200"/>
      <c r="D143" s="200"/>
      <c r="E143" s="200"/>
      <c r="F143" s="200"/>
      <c r="G143" s="200"/>
      <c r="H143" s="200"/>
      <c r="I143" s="200"/>
      <c r="J143" s="200"/>
      <c r="K143" s="200"/>
      <c r="L143" s="200"/>
      <c r="M143" s="200"/>
      <c r="N143" s="200"/>
      <c r="O143" s="200"/>
      <c r="P143" s="200"/>
      <c r="Q143" s="200"/>
      <c r="R143" s="200"/>
      <c r="S143" s="200"/>
      <c r="T143" s="200"/>
    </row>
    <row r="144" ht="13.5" customHeight="1">
      <c r="A144" s="200"/>
      <c r="B144" s="200"/>
      <c r="C144" s="200"/>
      <c r="D144" s="200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R144" s="200"/>
      <c r="S144" s="200"/>
      <c r="T144" s="200"/>
    </row>
    <row r="145" ht="13.5" customHeight="1">
      <c r="A145" s="200"/>
      <c r="B145" s="200"/>
      <c r="C145" s="200"/>
      <c r="D145" s="200"/>
      <c r="E145" s="200"/>
      <c r="F145" s="200"/>
      <c r="G145" s="200"/>
      <c r="H145" s="200"/>
      <c r="I145" s="200"/>
      <c r="J145" s="200"/>
      <c r="K145" s="200"/>
      <c r="L145" s="200"/>
      <c r="M145" s="200"/>
      <c r="N145" s="200"/>
      <c r="O145" s="200"/>
      <c r="P145" s="200"/>
      <c r="Q145" s="200"/>
      <c r="R145" s="200"/>
      <c r="S145" s="200"/>
      <c r="T145" s="200"/>
    </row>
    <row r="146" ht="13.5" customHeight="1">
      <c r="A146" s="200"/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200"/>
      <c r="P146" s="200"/>
      <c r="Q146" s="200"/>
      <c r="R146" s="200"/>
      <c r="S146" s="200"/>
      <c r="T146" s="200"/>
    </row>
    <row r="147" ht="13.5" customHeight="1">
      <c r="A147" s="200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200"/>
      <c r="P147" s="200"/>
      <c r="Q147" s="200"/>
      <c r="R147" s="200"/>
      <c r="S147" s="200"/>
      <c r="T147" s="200"/>
    </row>
    <row r="148" ht="13.5" customHeight="1">
      <c r="A148" s="200"/>
      <c r="B148" s="200"/>
      <c r="C148" s="200"/>
      <c r="D148" s="200"/>
      <c r="E148" s="200"/>
      <c r="F148" s="200"/>
      <c r="G148" s="200"/>
      <c r="H148" s="200"/>
      <c r="I148" s="200"/>
      <c r="J148" s="200"/>
      <c r="K148" s="200"/>
      <c r="L148" s="200"/>
      <c r="M148" s="200"/>
      <c r="N148" s="200"/>
      <c r="O148" s="200"/>
      <c r="P148" s="200"/>
      <c r="Q148" s="200"/>
      <c r="R148" s="200"/>
      <c r="S148" s="200"/>
      <c r="T148" s="200"/>
    </row>
    <row r="149" ht="13.5" customHeight="1">
      <c r="A149" s="200"/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</row>
    <row r="150" ht="13.5" customHeight="1">
      <c r="A150" s="200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</row>
    <row r="151" ht="13.5" customHeight="1">
      <c r="A151" s="200"/>
      <c r="B151" s="200"/>
      <c r="C151" s="200"/>
      <c r="D151" s="200"/>
      <c r="E151" s="200"/>
      <c r="F151" s="200"/>
      <c r="G151" s="200"/>
      <c r="H151" s="200"/>
      <c r="I151" s="200"/>
      <c r="J151" s="200"/>
      <c r="K151" s="200"/>
      <c r="L151" s="200"/>
      <c r="M151" s="200"/>
      <c r="N151" s="200"/>
      <c r="O151" s="200"/>
      <c r="P151" s="200"/>
      <c r="Q151" s="200"/>
      <c r="R151" s="200"/>
      <c r="S151" s="200"/>
      <c r="T151" s="200"/>
    </row>
    <row r="152" ht="13.5" customHeight="1">
      <c r="A152" s="200"/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</row>
    <row r="153" ht="13.5" customHeight="1">
      <c r="A153" s="200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</row>
    <row r="154" ht="13.5" customHeight="1">
      <c r="A154" s="200"/>
      <c r="B154" s="200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200"/>
      <c r="N154" s="200"/>
      <c r="O154" s="200"/>
      <c r="P154" s="200"/>
      <c r="Q154" s="200"/>
      <c r="R154" s="200"/>
      <c r="S154" s="200"/>
      <c r="T154" s="200"/>
    </row>
    <row r="155" ht="13.5" customHeight="1">
      <c r="A155" s="200"/>
      <c r="B155" s="200"/>
      <c r="C155" s="200"/>
      <c r="D155" s="200"/>
      <c r="E155" s="200"/>
      <c r="F155" s="200"/>
      <c r="G155" s="200"/>
      <c r="H155" s="200"/>
      <c r="I155" s="200"/>
      <c r="J155" s="200"/>
      <c r="K155" s="200"/>
      <c r="L155" s="200"/>
      <c r="M155" s="200"/>
      <c r="N155" s="200"/>
      <c r="O155" s="200"/>
      <c r="P155" s="200"/>
      <c r="Q155" s="200"/>
      <c r="R155" s="200"/>
      <c r="S155" s="200"/>
      <c r="T155" s="200"/>
    </row>
    <row r="156" ht="13.5" customHeight="1">
      <c r="A156" s="200"/>
      <c r="B156" s="200"/>
      <c r="C156" s="200"/>
      <c r="D156" s="200"/>
      <c r="E156" s="200"/>
      <c r="F156" s="200"/>
      <c r="G156" s="200"/>
      <c r="H156" s="200"/>
      <c r="I156" s="200"/>
      <c r="J156" s="200"/>
      <c r="K156" s="200"/>
      <c r="L156" s="200"/>
      <c r="M156" s="200"/>
      <c r="N156" s="200"/>
      <c r="O156" s="200"/>
      <c r="P156" s="200"/>
      <c r="Q156" s="200"/>
      <c r="R156" s="200"/>
      <c r="S156" s="200"/>
      <c r="T156" s="200"/>
    </row>
    <row r="157" ht="13.5" customHeight="1">
      <c r="A157" s="200"/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200"/>
      <c r="P157" s="200"/>
      <c r="Q157" s="200"/>
      <c r="R157" s="200"/>
      <c r="S157" s="200"/>
      <c r="T157" s="200"/>
    </row>
    <row r="158" ht="13.5" customHeight="1">
      <c r="A158" s="200"/>
      <c r="B158" s="200"/>
      <c r="C158" s="200"/>
      <c r="D158" s="200"/>
      <c r="E158" s="200"/>
      <c r="F158" s="200"/>
      <c r="G158" s="200"/>
      <c r="H158" s="200"/>
      <c r="I158" s="200"/>
      <c r="J158" s="200"/>
      <c r="K158" s="200"/>
      <c r="L158" s="200"/>
      <c r="M158" s="200"/>
      <c r="N158" s="200"/>
      <c r="O158" s="200"/>
      <c r="P158" s="200"/>
      <c r="Q158" s="200"/>
      <c r="R158" s="200"/>
      <c r="S158" s="200"/>
      <c r="T158" s="200"/>
    </row>
    <row r="159" ht="13.5" customHeight="1">
      <c r="A159" s="200"/>
      <c r="B159" s="200"/>
      <c r="C159" s="200"/>
      <c r="D159" s="200"/>
      <c r="E159" s="200"/>
      <c r="F159" s="200"/>
      <c r="G159" s="200"/>
      <c r="H159" s="200"/>
      <c r="I159" s="200"/>
      <c r="J159" s="200"/>
      <c r="K159" s="200"/>
      <c r="L159" s="200"/>
      <c r="M159" s="200"/>
      <c r="N159" s="200"/>
      <c r="O159" s="200"/>
      <c r="P159" s="200"/>
      <c r="Q159" s="200"/>
      <c r="R159" s="200"/>
      <c r="S159" s="200"/>
      <c r="T159" s="200"/>
    </row>
    <row r="160" ht="13.5" customHeight="1">
      <c r="A160" s="200"/>
      <c r="B160" s="200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R160" s="200"/>
      <c r="S160" s="200"/>
      <c r="T160" s="200"/>
    </row>
    <row r="161" ht="13.5" customHeight="1">
      <c r="A161" s="200"/>
      <c r="B161" s="200"/>
      <c r="C161" s="200"/>
      <c r="D161" s="200"/>
      <c r="E161" s="200"/>
      <c r="F161" s="200"/>
      <c r="G161" s="200"/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R161" s="200"/>
      <c r="S161" s="200"/>
      <c r="T161" s="200"/>
    </row>
    <row r="162" ht="13.5" customHeight="1">
      <c r="A162" s="200"/>
      <c r="B162" s="200"/>
      <c r="C162" s="200"/>
      <c r="D162" s="200"/>
      <c r="E162" s="200"/>
      <c r="F162" s="200"/>
      <c r="G162" s="200"/>
      <c r="H162" s="200"/>
      <c r="I162" s="200"/>
      <c r="J162" s="200"/>
      <c r="K162" s="200"/>
      <c r="L162" s="200"/>
      <c r="M162" s="200"/>
      <c r="N162" s="200"/>
      <c r="O162" s="200"/>
      <c r="P162" s="200"/>
      <c r="Q162" s="200"/>
      <c r="R162" s="200"/>
      <c r="S162" s="200"/>
      <c r="T162" s="200"/>
    </row>
    <row r="163" ht="13.5" customHeight="1">
      <c r="A163" s="200"/>
      <c r="B163" s="200"/>
      <c r="C163" s="200"/>
      <c r="D163" s="200"/>
      <c r="E163" s="200"/>
      <c r="F163" s="200"/>
      <c r="G163" s="200"/>
      <c r="H163" s="200"/>
      <c r="I163" s="200"/>
      <c r="J163" s="200"/>
      <c r="K163" s="200"/>
      <c r="L163" s="200"/>
      <c r="M163" s="200"/>
      <c r="N163" s="200"/>
      <c r="O163" s="200"/>
      <c r="P163" s="200"/>
      <c r="Q163" s="200"/>
      <c r="R163" s="200"/>
      <c r="S163" s="200"/>
      <c r="T163" s="200"/>
    </row>
    <row r="164" ht="13.5" customHeight="1">
      <c r="A164" s="200"/>
      <c r="B164" s="200"/>
      <c r="C164" s="200"/>
      <c r="D164" s="200"/>
      <c r="E164" s="200"/>
      <c r="F164" s="200"/>
      <c r="G164" s="200"/>
      <c r="H164" s="200"/>
      <c r="I164" s="200"/>
      <c r="J164" s="200"/>
      <c r="K164" s="200"/>
      <c r="L164" s="200"/>
      <c r="M164" s="200"/>
      <c r="N164" s="200"/>
      <c r="O164" s="200"/>
      <c r="P164" s="200"/>
      <c r="Q164" s="200"/>
      <c r="R164" s="200"/>
      <c r="S164" s="200"/>
      <c r="T164" s="200"/>
    </row>
    <row r="165" ht="13.5" customHeight="1">
      <c r="A165" s="200"/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</row>
    <row r="166" ht="13.5" customHeight="1">
      <c r="A166" s="200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</row>
    <row r="167" ht="13.5" customHeight="1">
      <c r="A167" s="200"/>
      <c r="B167" s="200"/>
      <c r="C167" s="200"/>
      <c r="D167" s="200"/>
      <c r="E167" s="200"/>
      <c r="F167" s="200"/>
      <c r="G167" s="200"/>
      <c r="H167" s="200"/>
      <c r="I167" s="200"/>
      <c r="J167" s="200"/>
      <c r="K167" s="200"/>
      <c r="L167" s="200"/>
      <c r="M167" s="200"/>
      <c r="N167" s="200"/>
      <c r="O167" s="200"/>
      <c r="P167" s="200"/>
      <c r="Q167" s="200"/>
      <c r="R167" s="200"/>
      <c r="S167" s="200"/>
      <c r="T167" s="200"/>
    </row>
    <row r="168" ht="13.5" customHeight="1">
      <c r="A168" s="200"/>
      <c r="B168" s="200"/>
      <c r="C168" s="200"/>
      <c r="D168" s="200"/>
      <c r="E168" s="200"/>
      <c r="F168" s="200"/>
      <c r="G168" s="200"/>
      <c r="H168" s="200"/>
      <c r="I168" s="200"/>
      <c r="J168" s="200"/>
      <c r="K168" s="200"/>
      <c r="L168" s="200"/>
      <c r="M168" s="200"/>
      <c r="N168" s="200"/>
      <c r="O168" s="200"/>
      <c r="P168" s="200"/>
      <c r="Q168" s="200"/>
      <c r="R168" s="200"/>
      <c r="S168" s="200"/>
      <c r="T168" s="200"/>
    </row>
    <row r="169" ht="13.5" customHeight="1">
      <c r="A169" s="200"/>
      <c r="B169" s="200"/>
      <c r="C169" s="200"/>
      <c r="D169" s="200"/>
      <c r="E169" s="200"/>
      <c r="F169" s="200"/>
      <c r="G169" s="200"/>
      <c r="H169" s="200"/>
      <c r="I169" s="200"/>
      <c r="J169" s="200"/>
      <c r="K169" s="200"/>
      <c r="L169" s="200"/>
      <c r="M169" s="200"/>
      <c r="N169" s="200"/>
      <c r="O169" s="200"/>
      <c r="P169" s="200"/>
      <c r="Q169" s="200"/>
      <c r="R169" s="200"/>
      <c r="S169" s="200"/>
      <c r="T169" s="200"/>
    </row>
    <row r="170" ht="13.5" customHeight="1">
      <c r="A170" s="200"/>
      <c r="B170" s="200"/>
      <c r="C170" s="200"/>
      <c r="D170" s="200"/>
      <c r="E170" s="200"/>
      <c r="F170" s="200"/>
      <c r="G170" s="200"/>
      <c r="H170" s="200"/>
      <c r="I170" s="200"/>
      <c r="J170" s="200"/>
      <c r="K170" s="200"/>
      <c r="L170" s="200"/>
      <c r="M170" s="200"/>
      <c r="N170" s="200"/>
      <c r="O170" s="200"/>
      <c r="P170" s="200"/>
      <c r="Q170" s="200"/>
      <c r="R170" s="200"/>
      <c r="S170" s="200"/>
      <c r="T170" s="200"/>
    </row>
    <row r="171" ht="13.5" customHeight="1">
      <c r="A171" s="200"/>
      <c r="B171" s="200"/>
      <c r="C171" s="200"/>
      <c r="D171" s="200"/>
      <c r="E171" s="200"/>
      <c r="F171" s="200"/>
      <c r="G171" s="200"/>
      <c r="H171" s="200"/>
      <c r="I171" s="200"/>
      <c r="J171" s="200"/>
      <c r="K171" s="200"/>
      <c r="L171" s="200"/>
      <c r="M171" s="200"/>
      <c r="N171" s="200"/>
      <c r="O171" s="200"/>
      <c r="P171" s="200"/>
      <c r="Q171" s="200"/>
      <c r="R171" s="200"/>
      <c r="S171" s="200"/>
      <c r="T171" s="200"/>
    </row>
    <row r="172" ht="13.5" customHeight="1">
      <c r="A172" s="200"/>
      <c r="B172" s="200"/>
      <c r="C172" s="200"/>
      <c r="D172" s="200"/>
      <c r="E172" s="200"/>
      <c r="F172" s="200"/>
      <c r="G172" s="200"/>
      <c r="H172" s="200"/>
      <c r="I172" s="200"/>
      <c r="J172" s="200"/>
      <c r="K172" s="200"/>
      <c r="L172" s="200"/>
      <c r="M172" s="200"/>
      <c r="N172" s="200"/>
      <c r="O172" s="200"/>
      <c r="P172" s="200"/>
      <c r="Q172" s="200"/>
      <c r="R172" s="200"/>
      <c r="S172" s="200"/>
      <c r="T172" s="200"/>
    </row>
    <row r="173" ht="13.5" customHeight="1">
      <c r="A173" s="200"/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  <c r="Q173" s="200"/>
      <c r="R173" s="200"/>
      <c r="S173" s="200"/>
      <c r="T173" s="200"/>
    </row>
    <row r="174" ht="13.5" customHeight="1">
      <c r="A174" s="200"/>
      <c r="B174" s="200"/>
      <c r="C174" s="200"/>
      <c r="D174" s="200"/>
      <c r="E174" s="200"/>
      <c r="F174" s="200"/>
      <c r="G174" s="200"/>
      <c r="H174" s="200"/>
      <c r="I174" s="200"/>
      <c r="J174" s="200"/>
      <c r="K174" s="200"/>
      <c r="L174" s="200"/>
      <c r="M174" s="200"/>
      <c r="N174" s="200"/>
      <c r="O174" s="200"/>
      <c r="P174" s="200"/>
      <c r="Q174" s="200"/>
      <c r="R174" s="200"/>
      <c r="S174" s="200"/>
      <c r="T174" s="200"/>
    </row>
    <row r="175" ht="13.5" customHeight="1">
      <c r="A175" s="200"/>
      <c r="B175" s="200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00"/>
      <c r="P175" s="200"/>
      <c r="Q175" s="200"/>
      <c r="R175" s="200"/>
      <c r="S175" s="200"/>
      <c r="T175" s="200"/>
    </row>
    <row r="176" ht="13.5" customHeight="1">
      <c r="A176" s="200"/>
      <c r="B176" s="200"/>
      <c r="C176" s="200"/>
      <c r="D176" s="200"/>
      <c r="E176" s="200"/>
      <c r="F176" s="200"/>
      <c r="G176" s="200"/>
      <c r="H176" s="200"/>
      <c r="I176" s="200"/>
      <c r="J176" s="200"/>
      <c r="K176" s="200"/>
      <c r="L176" s="200"/>
      <c r="M176" s="200"/>
      <c r="N176" s="200"/>
      <c r="O176" s="200"/>
      <c r="P176" s="200"/>
      <c r="Q176" s="200"/>
      <c r="R176" s="200"/>
      <c r="S176" s="200"/>
      <c r="T176" s="200"/>
    </row>
    <row r="177" ht="13.5" customHeight="1">
      <c r="A177" s="200"/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</row>
    <row r="178" ht="13.5" customHeight="1">
      <c r="A178" s="200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</row>
    <row r="179" ht="13.5" customHeight="1">
      <c r="A179" s="200"/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  <c r="Q179" s="200"/>
      <c r="R179" s="200"/>
      <c r="S179" s="200"/>
      <c r="T179" s="200"/>
    </row>
    <row r="180" ht="13.5" customHeight="1">
      <c r="A180" s="200"/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  <c r="Q180" s="200"/>
      <c r="R180" s="200"/>
      <c r="S180" s="200"/>
      <c r="T180" s="200"/>
    </row>
    <row r="181" ht="13.5" customHeight="1">
      <c r="A181" s="200"/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  <c r="Q181" s="200"/>
      <c r="R181" s="200"/>
      <c r="S181" s="200"/>
      <c r="T181" s="200"/>
    </row>
    <row r="182" ht="13.5" customHeight="1">
      <c r="A182" s="200"/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  <c r="Q182" s="200"/>
      <c r="R182" s="200"/>
      <c r="S182" s="200"/>
      <c r="T182" s="200"/>
    </row>
    <row r="183" ht="13.5" customHeight="1">
      <c r="A183" s="200"/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  <c r="Q183" s="200"/>
      <c r="R183" s="200"/>
      <c r="S183" s="200"/>
      <c r="T183" s="200"/>
    </row>
    <row r="184" ht="13.5" customHeight="1">
      <c r="A184" s="200"/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  <c r="Q184" s="200"/>
      <c r="R184" s="200"/>
      <c r="S184" s="200"/>
      <c r="T184" s="200"/>
    </row>
    <row r="185" ht="13.5" customHeight="1">
      <c r="A185" s="200"/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  <c r="Q185" s="200"/>
      <c r="R185" s="200"/>
      <c r="S185" s="200"/>
      <c r="T185" s="200"/>
    </row>
    <row r="186" ht="13.5" customHeight="1">
      <c r="A186" s="200"/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  <c r="Q186" s="200"/>
      <c r="R186" s="200"/>
      <c r="S186" s="200"/>
      <c r="T186" s="200"/>
    </row>
    <row r="187" ht="13.5" customHeight="1">
      <c r="A187" s="200"/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  <c r="Q187" s="200"/>
      <c r="R187" s="200"/>
      <c r="S187" s="200"/>
      <c r="T187" s="200"/>
    </row>
    <row r="188" ht="13.5" customHeight="1">
      <c r="A188" s="200"/>
      <c r="B188" s="200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00"/>
      <c r="P188" s="200"/>
      <c r="Q188" s="200"/>
      <c r="R188" s="200"/>
      <c r="S188" s="200"/>
      <c r="T188" s="200"/>
    </row>
    <row r="189" ht="13.5" customHeight="1">
      <c r="A189" s="200"/>
      <c r="B189" s="200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200"/>
      <c r="N189" s="200"/>
      <c r="O189" s="200"/>
      <c r="P189" s="200"/>
      <c r="Q189" s="200"/>
      <c r="R189" s="200"/>
      <c r="S189" s="200"/>
      <c r="T189" s="200"/>
    </row>
    <row r="190" ht="13.5" customHeight="1">
      <c r="A190" s="200"/>
      <c r="B190" s="200"/>
      <c r="C190" s="200"/>
      <c r="D190" s="200"/>
      <c r="E190" s="200"/>
      <c r="F190" s="200"/>
      <c r="G190" s="200"/>
      <c r="H190" s="200"/>
      <c r="I190" s="200"/>
      <c r="J190" s="200"/>
      <c r="K190" s="200"/>
      <c r="L190" s="200"/>
      <c r="M190" s="200"/>
      <c r="N190" s="200"/>
      <c r="O190" s="200"/>
      <c r="P190" s="200"/>
      <c r="Q190" s="200"/>
      <c r="R190" s="200"/>
      <c r="S190" s="200"/>
      <c r="T190" s="200"/>
    </row>
    <row r="191" ht="13.5" customHeight="1">
      <c r="A191" s="200"/>
      <c r="B191" s="200"/>
      <c r="C191" s="200"/>
      <c r="D191" s="200"/>
      <c r="E191" s="200"/>
      <c r="F191" s="200"/>
      <c r="G191" s="200"/>
      <c r="H191" s="200"/>
      <c r="I191" s="200"/>
      <c r="J191" s="200"/>
      <c r="K191" s="200"/>
      <c r="L191" s="200"/>
      <c r="M191" s="200"/>
      <c r="N191" s="200"/>
      <c r="O191" s="200"/>
      <c r="P191" s="200"/>
      <c r="Q191" s="200"/>
      <c r="R191" s="200"/>
      <c r="S191" s="200"/>
      <c r="T191" s="200"/>
    </row>
    <row r="192" ht="13.5" customHeight="1">
      <c r="A192" s="200"/>
      <c r="B192" s="200"/>
      <c r="C192" s="200"/>
      <c r="D192" s="200"/>
      <c r="E192" s="200"/>
      <c r="F192" s="200"/>
      <c r="G192" s="200"/>
      <c r="H192" s="200"/>
      <c r="I192" s="200"/>
      <c r="J192" s="200"/>
      <c r="K192" s="200"/>
      <c r="L192" s="200"/>
      <c r="M192" s="200"/>
      <c r="N192" s="200"/>
      <c r="O192" s="200"/>
      <c r="P192" s="200"/>
      <c r="Q192" s="200"/>
      <c r="R192" s="200"/>
      <c r="S192" s="200"/>
      <c r="T192" s="200"/>
    </row>
    <row r="193" ht="13.5" customHeight="1">
      <c r="A193" s="200"/>
      <c r="B193" s="200"/>
      <c r="C193" s="200"/>
      <c r="D193" s="200"/>
      <c r="E193" s="200"/>
      <c r="F193" s="200"/>
      <c r="G193" s="200"/>
      <c r="H193" s="200"/>
      <c r="I193" s="200"/>
      <c r="J193" s="200"/>
      <c r="K193" s="200"/>
      <c r="L193" s="200"/>
      <c r="M193" s="200"/>
      <c r="N193" s="200"/>
      <c r="O193" s="200"/>
      <c r="P193" s="200"/>
      <c r="Q193" s="200"/>
      <c r="R193" s="200"/>
      <c r="S193" s="200"/>
      <c r="T193" s="200"/>
    </row>
    <row r="194" ht="13.5" customHeight="1">
      <c r="A194" s="200"/>
      <c r="B194" s="200"/>
      <c r="C194" s="200"/>
      <c r="D194" s="200"/>
      <c r="E194" s="200"/>
      <c r="F194" s="200"/>
      <c r="G194" s="200"/>
      <c r="H194" s="200"/>
      <c r="I194" s="200"/>
      <c r="J194" s="200"/>
      <c r="K194" s="200"/>
      <c r="L194" s="200"/>
      <c r="M194" s="200"/>
      <c r="N194" s="200"/>
      <c r="O194" s="200"/>
      <c r="P194" s="200"/>
      <c r="Q194" s="200"/>
      <c r="R194" s="200"/>
      <c r="S194" s="200"/>
      <c r="T194" s="200"/>
    </row>
    <row r="195" ht="13.5" customHeight="1">
      <c r="A195" s="200"/>
      <c r="B195" s="200"/>
      <c r="C195" s="200"/>
      <c r="D195" s="200"/>
      <c r="E195" s="200"/>
      <c r="F195" s="200"/>
      <c r="G195" s="200"/>
      <c r="H195" s="200"/>
      <c r="I195" s="200"/>
      <c r="J195" s="200"/>
      <c r="K195" s="200"/>
      <c r="L195" s="200"/>
      <c r="M195" s="200"/>
      <c r="N195" s="200"/>
      <c r="O195" s="200"/>
      <c r="P195" s="200"/>
      <c r="Q195" s="200"/>
      <c r="R195" s="200"/>
      <c r="S195" s="200"/>
      <c r="T195" s="200"/>
    </row>
    <row r="196" ht="13.5" customHeight="1">
      <c r="A196" s="200"/>
      <c r="B196" s="200"/>
      <c r="C196" s="200"/>
      <c r="D196" s="200"/>
      <c r="E196" s="200"/>
      <c r="F196" s="200"/>
      <c r="G196" s="200"/>
      <c r="H196" s="200"/>
      <c r="I196" s="200"/>
      <c r="J196" s="200"/>
      <c r="K196" s="200"/>
      <c r="L196" s="200"/>
      <c r="M196" s="200"/>
      <c r="N196" s="200"/>
      <c r="O196" s="200"/>
      <c r="P196" s="200"/>
      <c r="Q196" s="200"/>
      <c r="R196" s="200"/>
      <c r="S196" s="200"/>
      <c r="T196" s="200"/>
    </row>
    <row r="197" ht="13.5" customHeight="1">
      <c r="A197" s="200"/>
      <c r="B197" s="200"/>
      <c r="C197" s="200"/>
      <c r="D197" s="200"/>
      <c r="E197" s="200"/>
      <c r="F197" s="200"/>
      <c r="G197" s="200"/>
      <c r="H197" s="200"/>
      <c r="I197" s="200"/>
      <c r="J197" s="200"/>
      <c r="K197" s="200"/>
      <c r="L197" s="200"/>
      <c r="M197" s="200"/>
      <c r="N197" s="200"/>
      <c r="O197" s="200"/>
      <c r="P197" s="200"/>
      <c r="Q197" s="200"/>
      <c r="R197" s="200"/>
      <c r="S197" s="200"/>
      <c r="T197" s="200"/>
    </row>
    <row r="198" ht="13.5" customHeight="1">
      <c r="A198" s="200"/>
      <c r="B198" s="200"/>
      <c r="C198" s="200"/>
      <c r="D198" s="200"/>
      <c r="E198" s="200"/>
      <c r="F198" s="200"/>
      <c r="G198" s="200"/>
      <c r="H198" s="200"/>
      <c r="I198" s="200"/>
      <c r="J198" s="200"/>
      <c r="K198" s="200"/>
      <c r="L198" s="200"/>
      <c r="M198" s="200"/>
      <c r="N198" s="200"/>
      <c r="O198" s="200"/>
      <c r="P198" s="200"/>
      <c r="Q198" s="200"/>
      <c r="R198" s="200"/>
      <c r="S198" s="200"/>
      <c r="T198" s="200"/>
    </row>
    <row r="199" ht="13.5" customHeight="1">
      <c r="A199" s="200"/>
      <c r="B199" s="200"/>
      <c r="C199" s="200"/>
      <c r="D199" s="200"/>
      <c r="E199" s="200"/>
      <c r="F199" s="200"/>
      <c r="G199" s="200"/>
      <c r="H199" s="200"/>
      <c r="I199" s="200"/>
      <c r="J199" s="200"/>
      <c r="K199" s="200"/>
      <c r="L199" s="200"/>
      <c r="M199" s="200"/>
      <c r="N199" s="200"/>
      <c r="O199" s="200"/>
      <c r="P199" s="200"/>
      <c r="Q199" s="200"/>
      <c r="R199" s="200"/>
      <c r="S199" s="200"/>
      <c r="T199" s="200"/>
    </row>
    <row r="200" ht="13.5" customHeight="1">
      <c r="A200" s="200"/>
      <c r="B200" s="200"/>
      <c r="C200" s="200"/>
      <c r="D200" s="200"/>
      <c r="E200" s="200"/>
      <c r="F200" s="200"/>
      <c r="G200" s="200"/>
      <c r="H200" s="200"/>
      <c r="I200" s="200"/>
      <c r="J200" s="200"/>
      <c r="K200" s="200"/>
      <c r="L200" s="200"/>
      <c r="M200" s="200"/>
      <c r="N200" s="200"/>
      <c r="O200" s="200"/>
      <c r="P200" s="200"/>
      <c r="Q200" s="200"/>
      <c r="R200" s="200"/>
      <c r="S200" s="200"/>
      <c r="T200" s="200"/>
    </row>
    <row r="201" ht="13.5" customHeight="1">
      <c r="A201" s="200"/>
      <c r="B201" s="200"/>
      <c r="C201" s="200"/>
      <c r="D201" s="200"/>
      <c r="E201" s="200"/>
      <c r="F201" s="200"/>
      <c r="G201" s="200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</row>
    <row r="202" ht="13.5" customHeight="1">
      <c r="A202" s="200"/>
      <c r="B202" s="200"/>
      <c r="C202" s="200"/>
      <c r="D202" s="200"/>
      <c r="E202" s="200"/>
      <c r="F202" s="200"/>
      <c r="G202" s="200"/>
      <c r="H202" s="200"/>
      <c r="I202" s="200"/>
      <c r="J202" s="200"/>
      <c r="K202" s="200"/>
      <c r="L202" s="200"/>
      <c r="M202" s="200"/>
      <c r="N202" s="200"/>
      <c r="O202" s="200"/>
      <c r="P202" s="200"/>
      <c r="Q202" s="200"/>
      <c r="R202" s="200"/>
      <c r="S202" s="200"/>
      <c r="T202" s="200"/>
    </row>
    <row r="203" ht="13.5" customHeight="1">
      <c r="A203" s="200"/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</row>
    <row r="204" ht="13.5" customHeight="1">
      <c r="A204" s="200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</row>
    <row r="205" ht="13.5" customHeight="1">
      <c r="A205" s="200"/>
      <c r="B205" s="200"/>
      <c r="C205" s="200"/>
      <c r="D205" s="200"/>
      <c r="E205" s="200"/>
      <c r="F205" s="200"/>
      <c r="G205" s="200"/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200"/>
    </row>
    <row r="206" ht="13.5" customHeight="1">
      <c r="A206" s="200"/>
      <c r="B206" s="200"/>
      <c r="C206" s="200"/>
      <c r="D206" s="200"/>
      <c r="E206" s="200"/>
      <c r="F206" s="200"/>
      <c r="G206" s="200"/>
      <c r="H206" s="200"/>
      <c r="I206" s="200"/>
      <c r="J206" s="200"/>
      <c r="K206" s="200"/>
      <c r="L206" s="200"/>
      <c r="M206" s="200"/>
      <c r="N206" s="200"/>
      <c r="O206" s="200"/>
      <c r="P206" s="200"/>
      <c r="Q206" s="200"/>
      <c r="R206" s="200"/>
      <c r="S206" s="200"/>
      <c r="T206" s="200"/>
    </row>
    <row r="207" ht="13.5" customHeight="1">
      <c r="A207" s="200"/>
      <c r="B207" s="200"/>
      <c r="C207" s="200"/>
      <c r="D207" s="200"/>
      <c r="E207" s="200"/>
      <c r="F207" s="200"/>
      <c r="G207" s="200"/>
      <c r="H207" s="200"/>
      <c r="I207" s="200"/>
      <c r="J207" s="200"/>
      <c r="K207" s="200"/>
      <c r="L207" s="200"/>
      <c r="M207" s="200"/>
      <c r="N207" s="200"/>
      <c r="O207" s="200"/>
      <c r="P207" s="200"/>
      <c r="Q207" s="200"/>
      <c r="R207" s="200"/>
      <c r="S207" s="200"/>
      <c r="T207" s="200"/>
    </row>
    <row r="208" ht="13.5" customHeight="1">
      <c r="A208" s="200"/>
      <c r="B208" s="200"/>
      <c r="C208" s="200"/>
      <c r="D208" s="200"/>
      <c r="E208" s="200"/>
      <c r="F208" s="200"/>
      <c r="G208" s="200"/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 s="200"/>
    </row>
    <row r="209" ht="13.5" customHeight="1">
      <c r="A209" s="200"/>
      <c r="B209" s="200"/>
      <c r="C209" s="200"/>
      <c r="D209" s="200"/>
      <c r="E209" s="200"/>
      <c r="F209" s="200"/>
      <c r="G209" s="200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200"/>
    </row>
    <row r="210" ht="13.5" customHeight="1">
      <c r="A210" s="200"/>
      <c r="B210" s="200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  <c r="Q210" s="200"/>
      <c r="R210" s="200"/>
      <c r="S210" s="200"/>
      <c r="T210" s="200"/>
    </row>
    <row r="211" ht="13.5" customHeight="1">
      <c r="A211" s="200"/>
      <c r="B211" s="200"/>
      <c r="C211" s="200"/>
      <c r="D211" s="200"/>
      <c r="E211" s="200"/>
      <c r="F211" s="200"/>
      <c r="G211" s="200"/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200"/>
    </row>
    <row r="212" ht="13.5" customHeight="1">
      <c r="A212" s="200"/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</row>
    <row r="213" ht="13.5" customHeight="1">
      <c r="A213" s="200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</row>
    <row r="214" ht="13.5" customHeight="1">
      <c r="A214" s="200"/>
      <c r="B214" s="200"/>
      <c r="C214" s="200"/>
      <c r="D214" s="200"/>
      <c r="E214" s="200"/>
      <c r="F214" s="200"/>
      <c r="G214" s="200"/>
      <c r="H214" s="200"/>
      <c r="I214" s="200"/>
      <c r="J214" s="200"/>
      <c r="K214" s="200"/>
      <c r="L214" s="200"/>
      <c r="M214" s="200"/>
      <c r="N214" s="200"/>
      <c r="O214" s="200"/>
      <c r="P214" s="200"/>
      <c r="Q214" s="200"/>
      <c r="R214" s="200"/>
      <c r="S214" s="200"/>
      <c r="T214" s="200"/>
    </row>
    <row r="215" ht="13.5" customHeight="1">
      <c r="A215" s="200"/>
      <c r="B215" s="200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</row>
    <row r="216" ht="13.5" customHeight="1">
      <c r="A216" s="200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</row>
    <row r="217" ht="13.5" customHeight="1">
      <c r="A217" s="200"/>
      <c r="B217" s="200"/>
      <c r="C217" s="200"/>
      <c r="D217" s="200"/>
      <c r="E217" s="200"/>
      <c r="F217" s="200"/>
      <c r="G217" s="200"/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200"/>
    </row>
    <row r="218" ht="13.5" customHeight="1">
      <c r="A218" s="200"/>
      <c r="B218" s="200"/>
      <c r="C218" s="200"/>
      <c r="D218" s="200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  <c r="Q218" s="200"/>
      <c r="R218" s="200"/>
      <c r="S218" s="200"/>
      <c r="T218" s="200"/>
    </row>
    <row r="219" ht="13.5" customHeight="1">
      <c r="A219" s="200"/>
      <c r="B219" s="200"/>
      <c r="C219" s="200"/>
      <c r="D219" s="200"/>
      <c r="E219" s="200"/>
      <c r="F219" s="200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  <c r="Q219" s="200"/>
      <c r="R219" s="200"/>
      <c r="S219" s="200"/>
      <c r="T219" s="200"/>
    </row>
    <row r="220" ht="13.5" customHeight="1">
      <c r="A220" s="200"/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</row>
    <row r="221" ht="13.5" customHeight="1">
      <c r="A221" s="200"/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  <c r="Q221" s="200"/>
      <c r="R221" s="200"/>
      <c r="S221" s="200"/>
      <c r="T221" s="200"/>
    </row>
    <row r="222" ht="13.5" customHeight="1">
      <c r="A222" s="200"/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  <c r="Q222" s="200"/>
      <c r="R222" s="200"/>
      <c r="S222" s="200"/>
      <c r="T222" s="200"/>
    </row>
    <row r="223" ht="13.5" customHeight="1">
      <c r="A223" s="200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</row>
    <row r="224" ht="13.5" customHeight="1">
      <c r="A224" s="200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</row>
    <row r="225" ht="13.5" customHeight="1">
      <c r="A225" s="200"/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  <c r="Q225" s="200"/>
      <c r="R225" s="200"/>
      <c r="S225" s="200"/>
      <c r="T225" s="200"/>
    </row>
    <row r="226" ht="13.5" customHeight="1">
      <c r="A226" s="200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</row>
    <row r="227" ht="13.5" customHeight="1">
      <c r="A227" s="200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</row>
    <row r="228" ht="13.5" customHeight="1">
      <c r="A228" s="200"/>
      <c r="B228" s="200"/>
      <c r="C228" s="200"/>
      <c r="D228" s="200"/>
      <c r="E228" s="200"/>
      <c r="F228" s="200"/>
      <c r="G228" s="200"/>
      <c r="H228" s="200"/>
      <c r="I228" s="200"/>
      <c r="J228" s="200"/>
      <c r="K228" s="200"/>
      <c r="L228" s="200"/>
      <c r="M228" s="200"/>
      <c r="N228" s="200"/>
      <c r="O228" s="200"/>
      <c r="P228" s="200"/>
      <c r="Q228" s="200"/>
      <c r="R228" s="200"/>
      <c r="S228" s="200"/>
      <c r="T228" s="200"/>
    </row>
    <row r="229" ht="13.5" customHeight="1">
      <c r="A229" s="200"/>
      <c r="B229" s="200"/>
      <c r="C229" s="200"/>
      <c r="D229" s="200"/>
      <c r="E229" s="200"/>
      <c r="F229" s="200"/>
      <c r="G229" s="200"/>
      <c r="H229" s="200"/>
      <c r="I229" s="200"/>
      <c r="J229" s="200"/>
      <c r="K229" s="200"/>
      <c r="L229" s="200"/>
      <c r="M229" s="200"/>
      <c r="N229" s="200"/>
      <c r="O229" s="200"/>
      <c r="P229" s="200"/>
      <c r="Q229" s="200"/>
      <c r="R229" s="200"/>
      <c r="S229" s="200"/>
      <c r="T229" s="200"/>
    </row>
    <row r="230" ht="13.5" customHeight="1">
      <c r="A230" s="200"/>
      <c r="B230" s="200"/>
      <c r="C230" s="200"/>
      <c r="D230" s="200"/>
      <c r="E230" s="200"/>
      <c r="F230" s="200"/>
      <c r="G230" s="200"/>
      <c r="H230" s="200"/>
      <c r="I230" s="200"/>
      <c r="J230" s="200"/>
      <c r="K230" s="200"/>
      <c r="L230" s="200"/>
      <c r="M230" s="200"/>
      <c r="N230" s="200"/>
      <c r="O230" s="200"/>
      <c r="P230" s="200"/>
      <c r="Q230" s="200"/>
      <c r="R230" s="200"/>
      <c r="S230" s="200"/>
      <c r="T230" s="200"/>
    </row>
    <row r="231" ht="13.5" customHeight="1">
      <c r="A231" s="200"/>
      <c r="B231" s="200"/>
      <c r="C231" s="200"/>
      <c r="D231" s="200"/>
      <c r="E231" s="200"/>
      <c r="F231" s="200"/>
      <c r="G231" s="200"/>
      <c r="H231" s="200"/>
      <c r="I231" s="200"/>
      <c r="J231" s="200"/>
      <c r="K231" s="200"/>
      <c r="L231" s="200"/>
      <c r="M231" s="200"/>
      <c r="N231" s="200"/>
      <c r="O231" s="200"/>
      <c r="P231" s="200"/>
      <c r="Q231" s="200"/>
      <c r="R231" s="200"/>
      <c r="S231" s="200"/>
      <c r="T231" s="200"/>
    </row>
    <row r="232" ht="13.5" customHeight="1">
      <c r="A232" s="200"/>
      <c r="B232" s="200"/>
      <c r="C232" s="200"/>
      <c r="D232" s="200"/>
      <c r="E232" s="200"/>
      <c r="F232" s="200"/>
      <c r="G232" s="200"/>
      <c r="H232" s="200"/>
      <c r="I232" s="200"/>
      <c r="J232" s="200"/>
      <c r="K232" s="200"/>
      <c r="L232" s="200"/>
      <c r="M232" s="200"/>
      <c r="N232" s="200"/>
      <c r="O232" s="200"/>
      <c r="P232" s="200"/>
      <c r="Q232" s="200"/>
      <c r="R232" s="200"/>
      <c r="S232" s="200"/>
      <c r="T232" s="200"/>
    </row>
    <row r="233" ht="13.5" customHeight="1">
      <c r="A233" s="200"/>
      <c r="B233" s="200"/>
      <c r="C233" s="200"/>
      <c r="D233" s="200"/>
      <c r="E233" s="200"/>
      <c r="F233" s="200"/>
      <c r="G233" s="200"/>
      <c r="H233" s="200"/>
      <c r="I233" s="200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</row>
    <row r="234" ht="13.5" customHeight="1">
      <c r="A234" s="200"/>
      <c r="B234" s="200"/>
      <c r="C234" s="200"/>
      <c r="D234" s="200"/>
      <c r="E234" s="200"/>
      <c r="F234" s="200"/>
      <c r="G234" s="200"/>
      <c r="H234" s="200"/>
      <c r="I234" s="200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</row>
    <row r="235" ht="13.5" customHeight="1">
      <c r="A235" s="200"/>
      <c r="B235" s="200"/>
      <c r="C235" s="200"/>
      <c r="D235" s="200"/>
      <c r="E235" s="200"/>
      <c r="F235" s="200"/>
      <c r="G235" s="200"/>
      <c r="H235" s="200"/>
      <c r="I235" s="200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</row>
    <row r="236" ht="13.5" customHeight="1">
      <c r="A236" s="200"/>
      <c r="B236" s="200"/>
      <c r="C236" s="200"/>
      <c r="D236" s="200"/>
      <c r="E236" s="200"/>
      <c r="F236" s="200"/>
      <c r="G236" s="200"/>
      <c r="H236" s="200"/>
      <c r="I236" s="200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</row>
    <row r="237" ht="13.5" customHeight="1">
      <c r="A237" s="200"/>
      <c r="B237" s="200"/>
      <c r="C237" s="200"/>
      <c r="D237" s="200"/>
      <c r="E237" s="200"/>
      <c r="F237" s="200"/>
      <c r="G237" s="200"/>
      <c r="H237" s="200"/>
      <c r="I237" s="200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</row>
    <row r="238" ht="13.5" customHeight="1">
      <c r="A238" s="200"/>
      <c r="B238" s="200"/>
      <c r="C238" s="200"/>
      <c r="D238" s="200"/>
      <c r="E238" s="200"/>
      <c r="F238" s="200"/>
      <c r="G238" s="200"/>
      <c r="H238" s="200"/>
      <c r="I238" s="200"/>
      <c r="J238" s="200"/>
      <c r="K238" s="200"/>
      <c r="L238" s="200"/>
      <c r="M238" s="200"/>
      <c r="N238" s="200"/>
      <c r="O238" s="200"/>
      <c r="P238" s="200"/>
      <c r="Q238" s="200"/>
      <c r="R238" s="200"/>
      <c r="S238" s="200"/>
      <c r="T238" s="200"/>
    </row>
    <row r="239" ht="13.5" customHeight="1">
      <c r="A239" s="200"/>
      <c r="B239" s="200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</row>
    <row r="240" ht="13.5" customHeight="1">
      <c r="A240" s="200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</row>
    <row r="241" ht="13.5" customHeight="1">
      <c r="A241" s="200"/>
      <c r="B241" s="200"/>
      <c r="C241" s="200"/>
      <c r="D241" s="200"/>
      <c r="E241" s="200"/>
      <c r="F241" s="200"/>
      <c r="G241" s="200"/>
      <c r="H241" s="200"/>
      <c r="I241" s="200"/>
      <c r="J241" s="200"/>
      <c r="K241" s="200"/>
      <c r="L241" s="200"/>
      <c r="M241" s="200"/>
      <c r="N241" s="200"/>
      <c r="O241" s="200"/>
      <c r="P241" s="200"/>
      <c r="Q241" s="200"/>
      <c r="R241" s="200"/>
      <c r="S241" s="200"/>
      <c r="T241" s="200"/>
    </row>
    <row r="242" ht="13.5" customHeight="1">
      <c r="A242" s="200"/>
      <c r="B242" s="200"/>
      <c r="C242" s="200"/>
      <c r="D242" s="200"/>
      <c r="E242" s="200"/>
      <c r="F242" s="200"/>
      <c r="G242" s="200"/>
      <c r="H242" s="200"/>
      <c r="I242" s="200"/>
      <c r="J242" s="200"/>
      <c r="K242" s="200"/>
      <c r="L242" s="200"/>
      <c r="M242" s="200"/>
      <c r="N242" s="200"/>
      <c r="O242" s="200"/>
      <c r="P242" s="200"/>
      <c r="Q242" s="200"/>
      <c r="R242" s="200"/>
      <c r="S242" s="200"/>
      <c r="T242" s="200"/>
    </row>
    <row r="243" ht="13.5" customHeight="1">
      <c r="A243" s="200"/>
      <c r="B243" s="200"/>
      <c r="C243" s="200"/>
      <c r="D243" s="200"/>
      <c r="E243" s="200"/>
      <c r="F243" s="200"/>
      <c r="G243" s="200"/>
      <c r="H243" s="200"/>
      <c r="I243" s="200"/>
      <c r="J243" s="200"/>
      <c r="K243" s="200"/>
      <c r="L243" s="200"/>
      <c r="M243" s="200"/>
      <c r="N243" s="200"/>
      <c r="O243" s="200"/>
      <c r="P243" s="200"/>
      <c r="Q243" s="200"/>
      <c r="R243" s="200"/>
      <c r="S243" s="200"/>
      <c r="T243" s="200"/>
    </row>
    <row r="244" ht="13.5" customHeight="1">
      <c r="A244" s="200"/>
      <c r="B244" s="200"/>
      <c r="C244" s="200"/>
      <c r="D244" s="200"/>
      <c r="E244" s="200"/>
      <c r="F244" s="200"/>
      <c r="G244" s="200"/>
      <c r="H244" s="200"/>
      <c r="I244" s="200"/>
      <c r="J244" s="200"/>
      <c r="K244" s="200"/>
      <c r="L244" s="200"/>
      <c r="M244" s="200"/>
      <c r="N244" s="200"/>
      <c r="O244" s="200"/>
      <c r="P244" s="200"/>
      <c r="Q244" s="200"/>
      <c r="R244" s="200"/>
      <c r="S244" s="200"/>
      <c r="T244" s="200"/>
    </row>
    <row r="245" ht="13.5" customHeight="1">
      <c r="A245" s="200"/>
      <c r="B245" s="200"/>
      <c r="C245" s="200"/>
      <c r="D245" s="200"/>
      <c r="E245" s="200"/>
      <c r="F245" s="200"/>
      <c r="G245" s="200"/>
      <c r="H245" s="200"/>
      <c r="I245" s="200"/>
      <c r="J245" s="200"/>
      <c r="K245" s="200"/>
      <c r="L245" s="200"/>
      <c r="M245" s="200"/>
      <c r="N245" s="200"/>
      <c r="O245" s="200"/>
      <c r="P245" s="200"/>
      <c r="Q245" s="200"/>
      <c r="R245" s="200"/>
      <c r="S245" s="200"/>
      <c r="T245" s="200"/>
    </row>
    <row r="246" ht="13.5" customHeight="1">
      <c r="A246" s="200"/>
      <c r="B246" s="200"/>
      <c r="C246" s="200"/>
      <c r="D246" s="200"/>
      <c r="E246" s="200"/>
      <c r="F246" s="200"/>
      <c r="G246" s="200"/>
      <c r="H246" s="200"/>
      <c r="I246" s="200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</row>
    <row r="247" ht="13.5" customHeight="1">
      <c r="A247" s="200"/>
      <c r="B247" s="200"/>
      <c r="C247" s="200"/>
      <c r="D247" s="200"/>
      <c r="E247" s="200"/>
      <c r="F247" s="200"/>
      <c r="G247" s="200"/>
      <c r="H247" s="200"/>
      <c r="I247" s="200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</row>
    <row r="248" ht="13.5" customHeight="1">
      <c r="A248" s="200"/>
      <c r="B248" s="200"/>
      <c r="C248" s="200"/>
      <c r="D248" s="200"/>
      <c r="E248" s="200"/>
      <c r="F248" s="200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</row>
    <row r="249" ht="13.5" customHeight="1">
      <c r="A249" s="200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</row>
    <row r="250" ht="13.5" customHeight="1">
      <c r="A250" s="200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</row>
    <row r="251" ht="13.5" customHeight="1">
      <c r="A251" s="200"/>
      <c r="B251" s="200"/>
      <c r="C251" s="200"/>
      <c r="D251" s="200"/>
      <c r="E251" s="200"/>
      <c r="F251" s="200"/>
      <c r="G251" s="200"/>
      <c r="H251" s="200"/>
      <c r="I251" s="200"/>
      <c r="J251" s="200"/>
      <c r="K251" s="200"/>
      <c r="L251" s="200"/>
      <c r="M251" s="200"/>
      <c r="N251" s="200"/>
      <c r="O251" s="200"/>
      <c r="P251" s="200"/>
      <c r="Q251" s="200"/>
      <c r="R251" s="200"/>
      <c r="S251" s="200"/>
      <c r="T251" s="200"/>
    </row>
    <row r="252" ht="13.5" customHeight="1">
      <c r="A252" s="200"/>
      <c r="B252" s="200"/>
      <c r="C252" s="200"/>
      <c r="D252" s="200"/>
      <c r="E252" s="200"/>
      <c r="F252" s="200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</row>
    <row r="253" ht="13.5" customHeight="1">
      <c r="A253" s="200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</row>
    <row r="254" ht="13.5" customHeight="1">
      <c r="A254" s="200"/>
      <c r="B254" s="200"/>
      <c r="C254" s="200"/>
      <c r="D254" s="200"/>
      <c r="E254" s="200"/>
      <c r="F254" s="200"/>
      <c r="G254" s="200"/>
      <c r="H254" s="200"/>
      <c r="I254" s="200"/>
      <c r="J254" s="200"/>
      <c r="K254" s="200"/>
      <c r="L254" s="200"/>
      <c r="M254" s="200"/>
      <c r="N254" s="200"/>
      <c r="O254" s="200"/>
      <c r="P254" s="200"/>
      <c r="Q254" s="200"/>
      <c r="R254" s="200"/>
      <c r="S254" s="200"/>
      <c r="T254" s="200"/>
    </row>
    <row r="255" ht="13.5" customHeight="1">
      <c r="A255" s="200"/>
      <c r="B255" s="200"/>
      <c r="C255" s="200"/>
      <c r="D255" s="200"/>
      <c r="E255" s="200"/>
      <c r="F255" s="200"/>
      <c r="G255" s="200"/>
      <c r="H255" s="200"/>
      <c r="I255" s="200"/>
      <c r="J255" s="200"/>
      <c r="K255" s="200"/>
      <c r="L255" s="200"/>
      <c r="M255" s="200"/>
      <c r="N255" s="200"/>
      <c r="O255" s="200"/>
      <c r="P255" s="200"/>
      <c r="Q255" s="200"/>
      <c r="R255" s="200"/>
      <c r="S255" s="200"/>
      <c r="T255" s="200"/>
    </row>
    <row r="256" ht="13.5" customHeight="1">
      <c r="A256" s="200"/>
      <c r="B256" s="200"/>
      <c r="C256" s="200"/>
      <c r="D256" s="200"/>
      <c r="E256" s="200"/>
      <c r="F256" s="200"/>
      <c r="G256" s="200"/>
      <c r="H256" s="200"/>
      <c r="I256" s="200"/>
      <c r="J256" s="200"/>
      <c r="K256" s="200"/>
      <c r="L256" s="200"/>
      <c r="M256" s="200"/>
      <c r="N256" s="200"/>
      <c r="O256" s="200"/>
      <c r="P256" s="200"/>
      <c r="Q256" s="200"/>
      <c r="R256" s="200"/>
      <c r="S256" s="200"/>
      <c r="T256" s="200"/>
    </row>
    <row r="257" ht="13.5" customHeight="1">
      <c r="A257" s="200"/>
      <c r="B257" s="200"/>
      <c r="C257" s="200"/>
      <c r="D257" s="200"/>
      <c r="E257" s="200"/>
      <c r="F257" s="200"/>
      <c r="G257" s="200"/>
      <c r="H257" s="200"/>
      <c r="I257" s="200"/>
      <c r="J257" s="200"/>
      <c r="K257" s="200"/>
      <c r="L257" s="200"/>
      <c r="M257" s="200"/>
      <c r="N257" s="200"/>
      <c r="O257" s="200"/>
      <c r="P257" s="200"/>
      <c r="Q257" s="200"/>
      <c r="R257" s="200"/>
      <c r="S257" s="200"/>
      <c r="T257" s="200"/>
    </row>
    <row r="258" ht="13.5" customHeight="1">
      <c r="A258" s="200"/>
      <c r="B258" s="200"/>
      <c r="C258" s="200"/>
      <c r="D258" s="200"/>
      <c r="E258" s="200"/>
      <c r="F258" s="200"/>
      <c r="G258" s="200"/>
      <c r="H258" s="200"/>
      <c r="I258" s="200"/>
      <c r="J258" s="200"/>
      <c r="K258" s="200"/>
      <c r="L258" s="200"/>
      <c r="M258" s="200"/>
      <c r="N258" s="200"/>
      <c r="O258" s="200"/>
      <c r="P258" s="200"/>
      <c r="Q258" s="200"/>
      <c r="R258" s="200"/>
      <c r="S258" s="200"/>
      <c r="T258" s="200"/>
    </row>
    <row r="259" ht="13.5" customHeight="1">
      <c r="A259" s="200"/>
      <c r="B259" s="200"/>
      <c r="C259" s="200"/>
      <c r="D259" s="200"/>
      <c r="E259" s="200"/>
      <c r="F259" s="200"/>
      <c r="G259" s="200"/>
      <c r="H259" s="200"/>
      <c r="I259" s="200"/>
      <c r="J259" s="200"/>
      <c r="K259" s="200"/>
      <c r="L259" s="200"/>
      <c r="M259" s="200"/>
      <c r="N259" s="200"/>
      <c r="O259" s="200"/>
      <c r="P259" s="200"/>
      <c r="Q259" s="200"/>
      <c r="R259" s="200"/>
      <c r="S259" s="200"/>
      <c r="T259" s="200"/>
    </row>
    <row r="260" ht="13.5" customHeight="1">
      <c r="A260" s="200"/>
      <c r="B260" s="200"/>
      <c r="C260" s="200"/>
      <c r="D260" s="200"/>
      <c r="E260" s="200"/>
      <c r="F260" s="200"/>
      <c r="G260" s="200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00"/>
    </row>
    <row r="261" ht="13.5" customHeight="1">
      <c r="A261" s="200"/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</row>
    <row r="262" ht="13.5" customHeight="1">
      <c r="A262" s="200"/>
      <c r="B262" s="200"/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</row>
    <row r="263" ht="13.5" customHeight="1">
      <c r="A263" s="200"/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</row>
    <row r="264" ht="13.5" customHeight="1">
      <c r="A264" s="200"/>
      <c r="B264" s="200"/>
      <c r="C264" s="200"/>
      <c r="D264" s="200"/>
      <c r="E264" s="200"/>
      <c r="F264" s="200"/>
      <c r="G264" s="200"/>
      <c r="H264" s="200"/>
      <c r="I264" s="200"/>
      <c r="J264" s="200"/>
      <c r="K264" s="200"/>
      <c r="L264" s="200"/>
      <c r="M264" s="200"/>
      <c r="N264" s="200"/>
      <c r="O264" s="200"/>
      <c r="P264" s="200"/>
      <c r="Q264" s="200"/>
      <c r="R264" s="200"/>
      <c r="S264" s="200"/>
      <c r="T264" s="200"/>
    </row>
    <row r="265" ht="13.5" customHeight="1">
      <c r="A265" s="200"/>
      <c r="B265" s="200"/>
      <c r="C265" s="200"/>
      <c r="D265" s="200"/>
      <c r="E265" s="200"/>
      <c r="F265" s="200"/>
      <c r="G265" s="200"/>
      <c r="H265" s="200"/>
      <c r="I265" s="200"/>
      <c r="J265" s="200"/>
      <c r="K265" s="200"/>
      <c r="L265" s="200"/>
      <c r="M265" s="200"/>
      <c r="N265" s="200"/>
      <c r="O265" s="200"/>
      <c r="P265" s="200"/>
      <c r="Q265" s="200"/>
      <c r="R265" s="200"/>
      <c r="S265" s="200"/>
      <c r="T265" s="200"/>
    </row>
    <row r="266" ht="13.5" customHeight="1">
      <c r="A266" s="200"/>
      <c r="B266" s="200"/>
      <c r="C266" s="200"/>
      <c r="D266" s="200"/>
      <c r="E266" s="200"/>
      <c r="F266" s="200"/>
      <c r="G266" s="200"/>
      <c r="H266" s="200"/>
      <c r="I266" s="200"/>
      <c r="J266" s="200"/>
      <c r="K266" s="200"/>
      <c r="L266" s="200"/>
      <c r="M266" s="200"/>
      <c r="N266" s="200"/>
      <c r="O266" s="200"/>
      <c r="P266" s="200"/>
      <c r="Q266" s="200"/>
      <c r="R266" s="200"/>
      <c r="S266" s="200"/>
      <c r="T266" s="200"/>
    </row>
    <row r="267" ht="13.5" customHeight="1">
      <c r="A267" s="200"/>
      <c r="B267" s="200"/>
      <c r="C267" s="200"/>
      <c r="D267" s="200"/>
      <c r="E267" s="200"/>
      <c r="F267" s="200"/>
      <c r="G267" s="200"/>
      <c r="H267" s="200"/>
      <c r="I267" s="200"/>
      <c r="J267" s="200"/>
      <c r="K267" s="200"/>
      <c r="L267" s="200"/>
      <c r="M267" s="200"/>
      <c r="N267" s="200"/>
      <c r="O267" s="200"/>
      <c r="P267" s="200"/>
      <c r="Q267" s="200"/>
      <c r="R267" s="200"/>
      <c r="S267" s="200"/>
      <c r="T267" s="200"/>
    </row>
    <row r="268" ht="13.5" customHeight="1">
      <c r="A268" s="200"/>
      <c r="B268" s="200"/>
      <c r="C268" s="200"/>
      <c r="D268" s="200"/>
      <c r="E268" s="200"/>
      <c r="F268" s="200"/>
      <c r="G268" s="200"/>
      <c r="H268" s="200"/>
      <c r="I268" s="200"/>
      <c r="J268" s="200"/>
      <c r="K268" s="200"/>
      <c r="L268" s="200"/>
      <c r="M268" s="200"/>
      <c r="N268" s="200"/>
      <c r="O268" s="200"/>
      <c r="P268" s="200"/>
      <c r="Q268" s="200"/>
      <c r="R268" s="200"/>
      <c r="S268" s="200"/>
      <c r="T268" s="200"/>
    </row>
    <row r="269" ht="13.5" customHeight="1">
      <c r="A269" s="200"/>
      <c r="B269" s="200"/>
      <c r="C269" s="200"/>
      <c r="D269" s="200"/>
      <c r="E269" s="200"/>
      <c r="F269" s="200"/>
      <c r="G269" s="200"/>
      <c r="H269" s="200"/>
      <c r="I269" s="200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</row>
    <row r="270" ht="13.5" customHeight="1">
      <c r="A270" s="200"/>
      <c r="B270" s="200"/>
      <c r="C270" s="200"/>
      <c r="D270" s="200"/>
      <c r="E270" s="200"/>
      <c r="F270" s="200"/>
      <c r="G270" s="200"/>
      <c r="H270" s="200"/>
      <c r="I270" s="200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</row>
    <row r="271" ht="13.5" customHeight="1">
      <c r="A271" s="200"/>
      <c r="B271" s="200"/>
      <c r="C271" s="200"/>
      <c r="D271" s="200"/>
      <c r="E271" s="200"/>
      <c r="F271" s="200"/>
      <c r="G271" s="200"/>
      <c r="H271" s="200"/>
      <c r="I271" s="200"/>
      <c r="J271" s="200"/>
      <c r="K271" s="200"/>
      <c r="L271" s="200"/>
      <c r="M271" s="200"/>
      <c r="N271" s="200"/>
      <c r="O271" s="200"/>
      <c r="P271" s="200"/>
      <c r="Q271" s="200"/>
      <c r="R271" s="200"/>
      <c r="S271" s="200"/>
      <c r="T271" s="200"/>
    </row>
    <row r="272" ht="13.5" customHeight="1">
      <c r="A272" s="200"/>
      <c r="B272" s="200"/>
      <c r="C272" s="200"/>
      <c r="D272" s="200"/>
      <c r="E272" s="200"/>
      <c r="F272" s="200"/>
      <c r="G272" s="200"/>
      <c r="H272" s="200"/>
      <c r="I272" s="200"/>
      <c r="J272" s="200"/>
      <c r="K272" s="200"/>
      <c r="L272" s="200"/>
      <c r="M272" s="200"/>
      <c r="N272" s="200"/>
      <c r="O272" s="200"/>
      <c r="P272" s="200"/>
      <c r="Q272" s="200"/>
      <c r="R272" s="200"/>
      <c r="S272" s="200"/>
      <c r="T272" s="200"/>
    </row>
    <row r="273" ht="13.5" customHeight="1">
      <c r="A273" s="200"/>
      <c r="B273" s="200"/>
      <c r="C273" s="200"/>
      <c r="D273" s="200"/>
      <c r="E273" s="200"/>
      <c r="F273" s="200"/>
      <c r="G273" s="200"/>
      <c r="H273" s="200"/>
      <c r="I273" s="200"/>
      <c r="J273" s="200"/>
      <c r="K273" s="200"/>
      <c r="L273" s="200"/>
      <c r="M273" s="200"/>
      <c r="N273" s="200"/>
      <c r="O273" s="200"/>
      <c r="P273" s="200"/>
      <c r="Q273" s="200"/>
      <c r="R273" s="200"/>
      <c r="S273" s="200"/>
      <c r="T273" s="200"/>
    </row>
    <row r="274" ht="13.5" customHeight="1">
      <c r="A274" s="200"/>
      <c r="B274" s="200"/>
      <c r="C274" s="200"/>
      <c r="D274" s="200"/>
      <c r="E274" s="200"/>
      <c r="F274" s="200"/>
      <c r="G274" s="200"/>
      <c r="H274" s="200"/>
      <c r="I274" s="200"/>
      <c r="J274" s="200"/>
      <c r="K274" s="200"/>
      <c r="L274" s="200"/>
      <c r="M274" s="200"/>
      <c r="N274" s="200"/>
      <c r="O274" s="200"/>
      <c r="P274" s="200"/>
      <c r="Q274" s="200"/>
      <c r="R274" s="200"/>
      <c r="S274" s="200"/>
      <c r="T274" s="200"/>
    </row>
    <row r="275" ht="13.5" customHeight="1">
      <c r="A275" s="200"/>
      <c r="B275" s="200"/>
      <c r="C275" s="200"/>
      <c r="D275" s="200"/>
      <c r="E275" s="200"/>
      <c r="F275" s="200"/>
      <c r="G275" s="200"/>
      <c r="H275" s="200"/>
      <c r="I275" s="200"/>
      <c r="J275" s="200"/>
      <c r="K275" s="200"/>
      <c r="L275" s="200"/>
      <c r="M275" s="200"/>
      <c r="N275" s="200"/>
      <c r="O275" s="200"/>
      <c r="P275" s="200"/>
      <c r="Q275" s="200"/>
      <c r="R275" s="200"/>
      <c r="S275" s="200"/>
      <c r="T275" s="200"/>
    </row>
    <row r="276" ht="13.5" customHeight="1">
      <c r="A276" s="200"/>
      <c r="B276" s="200"/>
      <c r="C276" s="200"/>
      <c r="D276" s="200"/>
      <c r="E276" s="200"/>
      <c r="F276" s="200"/>
      <c r="G276" s="200"/>
      <c r="H276" s="200"/>
      <c r="I276" s="200"/>
      <c r="J276" s="200"/>
      <c r="K276" s="200"/>
      <c r="L276" s="200"/>
      <c r="M276" s="200"/>
      <c r="N276" s="200"/>
      <c r="O276" s="200"/>
      <c r="P276" s="200"/>
      <c r="Q276" s="200"/>
      <c r="R276" s="200"/>
      <c r="S276" s="200"/>
      <c r="T276" s="200"/>
    </row>
    <row r="277" ht="13.5" customHeight="1">
      <c r="A277" s="200"/>
      <c r="B277" s="200"/>
      <c r="C277" s="200"/>
      <c r="D277" s="200"/>
      <c r="E277" s="200"/>
      <c r="F277" s="200"/>
      <c r="G277" s="200"/>
      <c r="H277" s="200"/>
      <c r="I277" s="200"/>
      <c r="J277" s="200"/>
      <c r="K277" s="200"/>
      <c r="L277" s="200"/>
      <c r="M277" s="200"/>
      <c r="N277" s="200"/>
      <c r="O277" s="200"/>
      <c r="P277" s="200"/>
      <c r="Q277" s="200"/>
      <c r="R277" s="200"/>
      <c r="S277" s="200"/>
      <c r="T277" s="200"/>
    </row>
    <row r="278" ht="13.5" customHeight="1">
      <c r="A278" s="200"/>
      <c r="B278" s="200"/>
      <c r="C278" s="200"/>
      <c r="D278" s="200"/>
      <c r="E278" s="200"/>
      <c r="F278" s="200"/>
      <c r="G278" s="200"/>
      <c r="H278" s="200"/>
      <c r="I278" s="200"/>
      <c r="J278" s="200"/>
      <c r="K278" s="200"/>
      <c r="L278" s="200"/>
      <c r="M278" s="200"/>
      <c r="N278" s="200"/>
      <c r="O278" s="200"/>
      <c r="P278" s="200"/>
      <c r="Q278" s="200"/>
      <c r="R278" s="200"/>
      <c r="S278" s="200"/>
      <c r="T278" s="200"/>
    </row>
    <row r="279" ht="13.5" customHeight="1">
      <c r="A279" s="200"/>
      <c r="B279" s="200"/>
      <c r="C279" s="200"/>
      <c r="D279" s="200"/>
      <c r="E279" s="200"/>
      <c r="F279" s="200"/>
      <c r="G279" s="200"/>
      <c r="H279" s="200"/>
      <c r="I279" s="200"/>
      <c r="J279" s="200"/>
      <c r="K279" s="200"/>
      <c r="L279" s="200"/>
      <c r="M279" s="200"/>
      <c r="N279" s="200"/>
      <c r="O279" s="200"/>
      <c r="P279" s="200"/>
      <c r="Q279" s="200"/>
      <c r="R279" s="200"/>
      <c r="S279" s="200"/>
      <c r="T279" s="200"/>
    </row>
    <row r="280" ht="13.5" customHeight="1">
      <c r="A280" s="200"/>
      <c r="B280" s="200"/>
      <c r="C280" s="200"/>
      <c r="D280" s="200"/>
      <c r="E280" s="200"/>
      <c r="F280" s="200"/>
      <c r="G280" s="200"/>
      <c r="H280" s="200"/>
      <c r="I280" s="200"/>
      <c r="J280" s="200"/>
      <c r="K280" s="200"/>
      <c r="L280" s="200"/>
      <c r="M280" s="200"/>
      <c r="N280" s="200"/>
      <c r="O280" s="200"/>
      <c r="P280" s="200"/>
      <c r="Q280" s="200"/>
      <c r="R280" s="200"/>
      <c r="S280" s="200"/>
      <c r="T280" s="200"/>
    </row>
    <row r="281" ht="13.5" customHeight="1">
      <c r="A281" s="200"/>
      <c r="B281" s="200"/>
      <c r="C281" s="200"/>
      <c r="D281" s="200"/>
      <c r="E281" s="200"/>
      <c r="F281" s="200"/>
      <c r="G281" s="200"/>
      <c r="H281" s="200"/>
      <c r="I281" s="200"/>
      <c r="J281" s="200"/>
      <c r="K281" s="200"/>
      <c r="L281" s="200"/>
      <c r="M281" s="200"/>
      <c r="N281" s="200"/>
      <c r="O281" s="200"/>
      <c r="P281" s="200"/>
      <c r="Q281" s="200"/>
      <c r="R281" s="200"/>
      <c r="S281" s="200"/>
      <c r="T281" s="200"/>
    </row>
    <row r="282" ht="13.5" customHeight="1">
      <c r="A282" s="200"/>
      <c r="B282" s="200"/>
      <c r="C282" s="200"/>
      <c r="D282" s="200"/>
      <c r="E282" s="200"/>
      <c r="F282" s="200"/>
      <c r="G282" s="200"/>
      <c r="H282" s="200"/>
      <c r="I282" s="200"/>
      <c r="J282" s="200"/>
      <c r="K282" s="200"/>
      <c r="L282" s="200"/>
      <c r="M282" s="200"/>
      <c r="N282" s="200"/>
      <c r="O282" s="200"/>
      <c r="P282" s="200"/>
      <c r="Q282" s="200"/>
      <c r="R282" s="200"/>
      <c r="S282" s="200"/>
      <c r="T282" s="200"/>
    </row>
    <row r="283" ht="13.5" customHeight="1">
      <c r="A283" s="200"/>
      <c r="B283" s="200"/>
      <c r="C283" s="200"/>
      <c r="D283" s="200"/>
      <c r="E283" s="200"/>
      <c r="F283" s="200"/>
      <c r="G283" s="200"/>
      <c r="H283" s="200"/>
      <c r="I283" s="200"/>
      <c r="J283" s="200"/>
      <c r="K283" s="200"/>
      <c r="L283" s="200"/>
      <c r="M283" s="200"/>
      <c r="N283" s="200"/>
      <c r="O283" s="200"/>
      <c r="P283" s="200"/>
      <c r="Q283" s="200"/>
      <c r="R283" s="200"/>
      <c r="S283" s="200"/>
      <c r="T283" s="200"/>
    </row>
    <row r="284" ht="13.5" customHeight="1">
      <c r="A284" s="200"/>
      <c r="B284" s="200"/>
      <c r="C284" s="200"/>
      <c r="D284" s="200"/>
      <c r="E284" s="200"/>
      <c r="F284" s="200"/>
      <c r="G284" s="200"/>
      <c r="H284" s="200"/>
      <c r="I284" s="200"/>
      <c r="J284" s="200"/>
      <c r="K284" s="200"/>
      <c r="L284" s="200"/>
      <c r="M284" s="200"/>
      <c r="N284" s="200"/>
      <c r="O284" s="200"/>
      <c r="P284" s="200"/>
      <c r="Q284" s="200"/>
      <c r="R284" s="200"/>
      <c r="S284" s="200"/>
      <c r="T284" s="200"/>
    </row>
    <row r="285" ht="13.5" customHeight="1">
      <c r="A285" s="200"/>
      <c r="B285" s="200"/>
      <c r="C285" s="200"/>
      <c r="D285" s="200"/>
      <c r="E285" s="200"/>
      <c r="F285" s="200"/>
      <c r="G285" s="200"/>
      <c r="H285" s="200"/>
      <c r="I285" s="200"/>
      <c r="J285" s="200"/>
      <c r="K285" s="200"/>
      <c r="L285" s="200"/>
      <c r="M285" s="200"/>
      <c r="N285" s="200"/>
      <c r="O285" s="200"/>
      <c r="P285" s="200"/>
      <c r="Q285" s="200"/>
      <c r="R285" s="200"/>
      <c r="S285" s="200"/>
      <c r="T285" s="200"/>
    </row>
    <row r="286" ht="13.5" customHeight="1">
      <c r="A286" s="200"/>
      <c r="B286" s="200"/>
      <c r="C286" s="200"/>
      <c r="D286" s="200"/>
      <c r="E286" s="200"/>
      <c r="F286" s="200"/>
      <c r="G286" s="200"/>
      <c r="H286" s="200"/>
      <c r="I286" s="200"/>
      <c r="J286" s="200"/>
      <c r="K286" s="200"/>
      <c r="L286" s="200"/>
      <c r="M286" s="200"/>
      <c r="N286" s="200"/>
      <c r="O286" s="200"/>
      <c r="P286" s="200"/>
      <c r="Q286" s="200"/>
      <c r="R286" s="200"/>
      <c r="S286" s="200"/>
      <c r="T286" s="200"/>
    </row>
    <row r="287" ht="13.5" customHeight="1">
      <c r="A287" s="200"/>
      <c r="B287" s="200"/>
      <c r="C287" s="200"/>
      <c r="D287" s="200"/>
      <c r="E287" s="200"/>
      <c r="F287" s="200"/>
      <c r="G287" s="200"/>
      <c r="H287" s="200"/>
      <c r="I287" s="200"/>
      <c r="J287" s="200"/>
      <c r="K287" s="200"/>
      <c r="L287" s="200"/>
      <c r="M287" s="200"/>
      <c r="N287" s="200"/>
      <c r="O287" s="200"/>
      <c r="P287" s="200"/>
      <c r="Q287" s="200"/>
      <c r="R287" s="200"/>
      <c r="S287" s="200"/>
      <c r="T287" s="200"/>
    </row>
    <row r="288" ht="13.5" customHeight="1">
      <c r="A288" s="200"/>
      <c r="B288" s="200"/>
      <c r="C288" s="200"/>
      <c r="D288" s="200"/>
      <c r="E288" s="200"/>
      <c r="F288" s="200"/>
      <c r="G288" s="200"/>
      <c r="H288" s="200"/>
      <c r="I288" s="200"/>
      <c r="J288" s="200"/>
      <c r="K288" s="200"/>
      <c r="L288" s="200"/>
      <c r="M288" s="200"/>
      <c r="N288" s="200"/>
      <c r="O288" s="200"/>
      <c r="P288" s="200"/>
      <c r="Q288" s="200"/>
      <c r="R288" s="200"/>
      <c r="S288" s="200"/>
      <c r="T288" s="200"/>
    </row>
    <row r="289" ht="13.5" customHeight="1">
      <c r="A289" s="200"/>
      <c r="B289" s="200"/>
      <c r="C289" s="200"/>
      <c r="D289" s="200"/>
      <c r="E289" s="200"/>
      <c r="F289" s="200"/>
      <c r="G289" s="200"/>
      <c r="H289" s="200"/>
      <c r="I289" s="200"/>
      <c r="J289" s="200"/>
      <c r="K289" s="200"/>
      <c r="L289" s="200"/>
      <c r="M289" s="200"/>
      <c r="N289" s="200"/>
      <c r="O289" s="200"/>
      <c r="P289" s="200"/>
      <c r="Q289" s="200"/>
      <c r="R289" s="200"/>
      <c r="S289" s="200"/>
      <c r="T289" s="200"/>
    </row>
    <row r="290" ht="13.5" customHeight="1">
      <c r="A290" s="200"/>
      <c r="B290" s="200"/>
      <c r="C290" s="200"/>
      <c r="D290" s="200"/>
      <c r="E290" s="200"/>
      <c r="F290" s="200"/>
      <c r="G290" s="200"/>
      <c r="H290" s="200"/>
      <c r="I290" s="200"/>
      <c r="J290" s="200"/>
      <c r="K290" s="200"/>
      <c r="L290" s="200"/>
      <c r="M290" s="200"/>
      <c r="N290" s="200"/>
      <c r="O290" s="200"/>
      <c r="P290" s="200"/>
      <c r="Q290" s="200"/>
      <c r="R290" s="200"/>
      <c r="S290" s="200"/>
      <c r="T290" s="200"/>
    </row>
    <row r="291" ht="13.5" customHeight="1">
      <c r="A291" s="200"/>
      <c r="B291" s="200"/>
      <c r="C291" s="200"/>
      <c r="D291" s="200"/>
      <c r="E291" s="200"/>
      <c r="F291" s="200"/>
      <c r="G291" s="200"/>
      <c r="H291" s="200"/>
      <c r="I291" s="200"/>
      <c r="J291" s="200"/>
      <c r="K291" s="200"/>
      <c r="L291" s="200"/>
      <c r="M291" s="200"/>
      <c r="N291" s="200"/>
      <c r="O291" s="200"/>
      <c r="P291" s="200"/>
      <c r="Q291" s="200"/>
      <c r="R291" s="200"/>
      <c r="S291" s="200"/>
      <c r="T291" s="200"/>
    </row>
    <row r="292" ht="13.5" customHeight="1">
      <c r="A292" s="200"/>
      <c r="B292" s="200"/>
      <c r="C292" s="200"/>
      <c r="D292" s="200"/>
      <c r="E292" s="200"/>
      <c r="F292" s="200"/>
      <c r="G292" s="200"/>
      <c r="H292" s="200"/>
      <c r="I292" s="200"/>
      <c r="J292" s="200"/>
      <c r="K292" s="200"/>
      <c r="L292" s="200"/>
      <c r="M292" s="200"/>
      <c r="N292" s="200"/>
      <c r="O292" s="200"/>
      <c r="P292" s="200"/>
      <c r="Q292" s="200"/>
      <c r="R292" s="200"/>
      <c r="S292" s="200"/>
      <c r="T292" s="200"/>
    </row>
    <row r="293" ht="13.5" customHeight="1">
      <c r="A293" s="200"/>
      <c r="B293" s="200"/>
      <c r="C293" s="200"/>
      <c r="D293" s="200"/>
      <c r="E293" s="200"/>
      <c r="F293" s="200"/>
      <c r="G293" s="200"/>
      <c r="H293" s="200"/>
      <c r="I293" s="200"/>
      <c r="J293" s="200"/>
      <c r="K293" s="200"/>
      <c r="L293" s="200"/>
      <c r="M293" s="200"/>
      <c r="N293" s="200"/>
      <c r="O293" s="200"/>
      <c r="P293" s="200"/>
      <c r="Q293" s="200"/>
      <c r="R293" s="200"/>
      <c r="S293" s="200"/>
      <c r="T293" s="200"/>
    </row>
    <row r="294" ht="13.5" customHeight="1">
      <c r="A294" s="200"/>
      <c r="B294" s="200"/>
      <c r="C294" s="200"/>
      <c r="D294" s="200"/>
      <c r="E294" s="200"/>
      <c r="F294" s="200"/>
      <c r="G294" s="200"/>
      <c r="H294" s="200"/>
      <c r="I294" s="200"/>
      <c r="J294" s="200"/>
      <c r="K294" s="200"/>
      <c r="L294" s="200"/>
      <c r="M294" s="200"/>
      <c r="N294" s="200"/>
      <c r="O294" s="200"/>
      <c r="P294" s="200"/>
      <c r="Q294" s="200"/>
      <c r="R294" s="200"/>
      <c r="S294" s="200"/>
      <c r="T294" s="200"/>
    </row>
    <row r="295" ht="13.5" customHeight="1">
      <c r="A295" s="200"/>
      <c r="B295" s="200"/>
      <c r="C295" s="200"/>
      <c r="D295" s="200"/>
      <c r="E295" s="200"/>
      <c r="F295" s="200"/>
      <c r="G295" s="200"/>
      <c r="H295" s="200"/>
      <c r="I295" s="200"/>
      <c r="J295" s="200"/>
      <c r="K295" s="200"/>
      <c r="L295" s="200"/>
      <c r="M295" s="200"/>
      <c r="N295" s="200"/>
      <c r="O295" s="200"/>
      <c r="P295" s="200"/>
      <c r="Q295" s="200"/>
      <c r="R295" s="200"/>
      <c r="S295" s="200"/>
      <c r="T295" s="200"/>
    </row>
    <row r="296" ht="13.5" customHeight="1">
      <c r="A296" s="200"/>
      <c r="B296" s="200"/>
      <c r="C296" s="200"/>
      <c r="D296" s="200"/>
      <c r="E296" s="200"/>
      <c r="F296" s="200"/>
      <c r="G296" s="200"/>
      <c r="H296" s="200"/>
      <c r="I296" s="200"/>
      <c r="J296" s="200"/>
      <c r="K296" s="200"/>
      <c r="L296" s="200"/>
      <c r="M296" s="200"/>
      <c r="N296" s="200"/>
      <c r="O296" s="200"/>
      <c r="P296" s="200"/>
      <c r="Q296" s="200"/>
      <c r="R296" s="200"/>
      <c r="S296" s="200"/>
      <c r="T296" s="200"/>
    </row>
    <row r="297" ht="13.5" customHeight="1">
      <c r="A297" s="200"/>
      <c r="B297" s="200"/>
      <c r="C297" s="200"/>
      <c r="D297" s="200"/>
      <c r="E297" s="200"/>
      <c r="F297" s="200"/>
      <c r="G297" s="200"/>
      <c r="H297" s="200"/>
      <c r="I297" s="200"/>
      <c r="J297" s="200"/>
      <c r="K297" s="200"/>
      <c r="L297" s="200"/>
      <c r="M297" s="200"/>
      <c r="N297" s="200"/>
      <c r="O297" s="200"/>
      <c r="P297" s="200"/>
      <c r="Q297" s="200"/>
      <c r="R297" s="200"/>
      <c r="S297" s="200"/>
      <c r="T297" s="200"/>
    </row>
    <row r="298" ht="13.5" customHeight="1">
      <c r="A298" s="200"/>
      <c r="B298" s="200"/>
      <c r="C298" s="200"/>
      <c r="D298" s="200"/>
      <c r="E298" s="200"/>
      <c r="F298" s="200"/>
      <c r="G298" s="200"/>
      <c r="H298" s="200"/>
      <c r="I298" s="200"/>
      <c r="J298" s="200"/>
      <c r="K298" s="200"/>
      <c r="L298" s="200"/>
      <c r="M298" s="200"/>
      <c r="N298" s="200"/>
      <c r="O298" s="200"/>
      <c r="P298" s="200"/>
      <c r="Q298" s="200"/>
      <c r="R298" s="200"/>
      <c r="S298" s="200"/>
      <c r="T298" s="200"/>
    </row>
    <row r="299" ht="13.5" customHeight="1">
      <c r="A299" s="200"/>
      <c r="B299" s="200"/>
      <c r="C299" s="200"/>
      <c r="D299" s="200"/>
      <c r="E299" s="200"/>
      <c r="F299" s="200"/>
      <c r="G299" s="200"/>
      <c r="H299" s="200"/>
      <c r="I299" s="200"/>
      <c r="J299" s="200"/>
      <c r="K299" s="200"/>
      <c r="L299" s="200"/>
      <c r="M299" s="200"/>
      <c r="N299" s="200"/>
      <c r="O299" s="200"/>
      <c r="P299" s="200"/>
      <c r="Q299" s="200"/>
      <c r="R299" s="200"/>
      <c r="S299" s="200"/>
      <c r="T299" s="200"/>
    </row>
    <row r="300" ht="13.5" customHeight="1">
      <c r="A300" s="200"/>
      <c r="B300" s="200"/>
      <c r="C300" s="200"/>
      <c r="D300" s="200"/>
      <c r="E300" s="200"/>
      <c r="F300" s="200"/>
      <c r="G300" s="200"/>
      <c r="H300" s="200"/>
      <c r="I300" s="200"/>
      <c r="J300" s="200"/>
      <c r="K300" s="200"/>
      <c r="L300" s="200"/>
      <c r="M300" s="200"/>
      <c r="N300" s="200"/>
      <c r="O300" s="200"/>
      <c r="P300" s="200"/>
      <c r="Q300" s="200"/>
      <c r="R300" s="200"/>
      <c r="S300" s="200"/>
      <c r="T300" s="200"/>
    </row>
    <row r="301" ht="13.5" customHeight="1">
      <c r="A301" s="200"/>
      <c r="B301" s="200"/>
      <c r="C301" s="200"/>
      <c r="D301" s="200"/>
      <c r="E301" s="200"/>
      <c r="F301" s="200"/>
      <c r="G301" s="200"/>
      <c r="H301" s="200"/>
      <c r="I301" s="200"/>
      <c r="J301" s="200"/>
      <c r="K301" s="200"/>
      <c r="L301" s="200"/>
      <c r="M301" s="200"/>
      <c r="N301" s="200"/>
      <c r="O301" s="200"/>
      <c r="P301" s="200"/>
      <c r="Q301" s="200"/>
      <c r="R301" s="200"/>
      <c r="S301" s="200"/>
      <c r="T301" s="200"/>
    </row>
    <row r="302" ht="13.5" customHeight="1">
      <c r="A302" s="200"/>
      <c r="B302" s="200"/>
      <c r="C302" s="200"/>
      <c r="D302" s="200"/>
      <c r="E302" s="200"/>
      <c r="F302" s="200"/>
      <c r="G302" s="200"/>
      <c r="H302" s="200"/>
      <c r="I302" s="200"/>
      <c r="J302" s="200"/>
      <c r="K302" s="200"/>
      <c r="L302" s="200"/>
      <c r="M302" s="200"/>
      <c r="N302" s="200"/>
      <c r="O302" s="200"/>
      <c r="P302" s="200"/>
      <c r="Q302" s="200"/>
      <c r="R302" s="200"/>
      <c r="S302" s="200"/>
      <c r="T302" s="200"/>
    </row>
    <row r="303" ht="13.5" customHeight="1">
      <c r="A303" s="200"/>
      <c r="B303" s="200"/>
      <c r="C303" s="200"/>
      <c r="D303" s="200"/>
      <c r="E303" s="200"/>
      <c r="F303" s="200"/>
      <c r="G303" s="200"/>
      <c r="H303" s="200"/>
      <c r="I303" s="200"/>
      <c r="J303" s="200"/>
      <c r="K303" s="200"/>
      <c r="L303" s="200"/>
      <c r="M303" s="200"/>
      <c r="N303" s="200"/>
      <c r="O303" s="200"/>
      <c r="P303" s="200"/>
      <c r="Q303" s="200"/>
      <c r="R303" s="200"/>
      <c r="S303" s="200"/>
      <c r="T303" s="200"/>
    </row>
    <row r="304" ht="13.5" customHeight="1">
      <c r="A304" s="200"/>
      <c r="B304" s="200"/>
      <c r="C304" s="200"/>
      <c r="D304" s="200"/>
      <c r="E304" s="200"/>
      <c r="F304" s="200"/>
      <c r="G304" s="200"/>
      <c r="H304" s="200"/>
      <c r="I304" s="200"/>
      <c r="J304" s="200"/>
      <c r="K304" s="200"/>
      <c r="L304" s="200"/>
      <c r="M304" s="200"/>
      <c r="N304" s="200"/>
      <c r="O304" s="200"/>
      <c r="P304" s="200"/>
      <c r="Q304" s="200"/>
      <c r="R304" s="200"/>
      <c r="S304" s="200"/>
      <c r="T304" s="200"/>
    </row>
    <row r="305" ht="13.5" customHeight="1">
      <c r="A305" s="200"/>
      <c r="B305" s="200"/>
      <c r="C305" s="200"/>
      <c r="D305" s="200"/>
      <c r="E305" s="200"/>
      <c r="F305" s="200"/>
      <c r="G305" s="200"/>
      <c r="H305" s="200"/>
      <c r="I305" s="200"/>
      <c r="J305" s="200"/>
      <c r="K305" s="200"/>
      <c r="L305" s="200"/>
      <c r="M305" s="200"/>
      <c r="N305" s="200"/>
      <c r="O305" s="200"/>
      <c r="P305" s="200"/>
      <c r="Q305" s="200"/>
      <c r="R305" s="200"/>
      <c r="S305" s="200"/>
      <c r="T305" s="200"/>
    </row>
    <row r="306" ht="13.5" customHeight="1">
      <c r="A306" s="200"/>
      <c r="B306" s="200"/>
      <c r="C306" s="200"/>
      <c r="D306" s="200"/>
      <c r="E306" s="200"/>
      <c r="F306" s="200"/>
      <c r="G306" s="200"/>
      <c r="H306" s="200"/>
      <c r="I306" s="200"/>
      <c r="J306" s="200"/>
      <c r="K306" s="200"/>
      <c r="L306" s="200"/>
      <c r="M306" s="200"/>
      <c r="N306" s="200"/>
      <c r="O306" s="200"/>
      <c r="P306" s="200"/>
      <c r="Q306" s="200"/>
      <c r="R306" s="200"/>
      <c r="S306" s="200"/>
      <c r="T306" s="200"/>
    </row>
    <row r="307" ht="13.5" customHeight="1">
      <c r="A307" s="200"/>
      <c r="B307" s="200"/>
      <c r="C307" s="200"/>
      <c r="D307" s="200"/>
      <c r="E307" s="200"/>
      <c r="F307" s="200"/>
      <c r="G307" s="200"/>
      <c r="H307" s="200"/>
      <c r="I307" s="200"/>
      <c r="J307" s="200"/>
      <c r="K307" s="200"/>
      <c r="L307" s="200"/>
      <c r="M307" s="200"/>
      <c r="N307" s="200"/>
      <c r="O307" s="200"/>
      <c r="P307" s="200"/>
      <c r="Q307" s="200"/>
      <c r="R307" s="200"/>
      <c r="S307" s="200"/>
      <c r="T307" s="200"/>
    </row>
    <row r="308" ht="13.5" customHeight="1">
      <c r="A308" s="200"/>
      <c r="B308" s="200"/>
      <c r="C308" s="200"/>
      <c r="D308" s="200"/>
      <c r="E308" s="200"/>
      <c r="F308" s="200"/>
      <c r="G308" s="200"/>
      <c r="H308" s="200"/>
      <c r="I308" s="200"/>
      <c r="J308" s="200"/>
      <c r="K308" s="200"/>
      <c r="L308" s="200"/>
      <c r="M308" s="200"/>
      <c r="N308" s="200"/>
      <c r="O308" s="200"/>
      <c r="P308" s="200"/>
      <c r="Q308" s="200"/>
      <c r="R308" s="200"/>
      <c r="S308" s="200"/>
      <c r="T308" s="200"/>
    </row>
    <row r="309" ht="13.5" customHeight="1">
      <c r="A309" s="200"/>
      <c r="B309" s="200"/>
      <c r="C309" s="200"/>
      <c r="D309" s="200"/>
      <c r="E309" s="200"/>
      <c r="F309" s="200"/>
      <c r="G309" s="200"/>
      <c r="H309" s="200"/>
      <c r="I309" s="200"/>
      <c r="J309" s="200"/>
      <c r="K309" s="200"/>
      <c r="L309" s="200"/>
      <c r="M309" s="200"/>
      <c r="N309" s="200"/>
      <c r="O309" s="200"/>
      <c r="P309" s="200"/>
      <c r="Q309" s="200"/>
      <c r="R309" s="200"/>
      <c r="S309" s="200"/>
      <c r="T309" s="200"/>
    </row>
    <row r="310" ht="13.5" customHeight="1">
      <c r="A310" s="200"/>
      <c r="B310" s="200"/>
      <c r="C310" s="200"/>
      <c r="D310" s="200"/>
      <c r="E310" s="200"/>
      <c r="F310" s="200"/>
      <c r="G310" s="200"/>
      <c r="H310" s="200"/>
      <c r="I310" s="200"/>
      <c r="J310" s="200"/>
      <c r="K310" s="200"/>
      <c r="L310" s="200"/>
      <c r="M310" s="200"/>
      <c r="N310" s="200"/>
      <c r="O310" s="200"/>
      <c r="P310" s="200"/>
      <c r="Q310" s="200"/>
      <c r="R310" s="200"/>
      <c r="S310" s="200"/>
      <c r="T310" s="200"/>
    </row>
    <row r="311" ht="13.5" customHeight="1">
      <c r="A311" s="200"/>
      <c r="B311" s="200"/>
      <c r="C311" s="200"/>
      <c r="D311" s="200"/>
      <c r="E311" s="200"/>
      <c r="F311" s="200"/>
      <c r="G311" s="200"/>
      <c r="H311" s="200"/>
      <c r="I311" s="200"/>
      <c r="J311" s="200"/>
      <c r="K311" s="200"/>
      <c r="L311" s="200"/>
      <c r="M311" s="200"/>
      <c r="N311" s="200"/>
      <c r="O311" s="200"/>
      <c r="P311" s="200"/>
      <c r="Q311" s="200"/>
      <c r="R311" s="200"/>
      <c r="S311" s="200"/>
      <c r="T311" s="200"/>
    </row>
    <row r="312" ht="13.5" customHeight="1">
      <c r="A312" s="200"/>
      <c r="B312" s="200"/>
      <c r="C312" s="200"/>
      <c r="D312" s="200"/>
      <c r="E312" s="200"/>
      <c r="F312" s="200"/>
      <c r="G312" s="200"/>
      <c r="H312" s="200"/>
      <c r="I312" s="200"/>
      <c r="J312" s="200"/>
      <c r="K312" s="200"/>
      <c r="L312" s="200"/>
      <c r="M312" s="200"/>
      <c r="N312" s="200"/>
      <c r="O312" s="200"/>
      <c r="P312" s="200"/>
      <c r="Q312" s="200"/>
      <c r="R312" s="200"/>
      <c r="S312" s="200"/>
      <c r="T312" s="200"/>
    </row>
    <row r="313" ht="13.5" customHeight="1">
      <c r="A313" s="200"/>
      <c r="B313" s="200"/>
      <c r="C313" s="200"/>
      <c r="D313" s="200"/>
      <c r="E313" s="200"/>
      <c r="F313" s="200"/>
      <c r="G313" s="200"/>
      <c r="H313" s="200"/>
      <c r="I313" s="200"/>
      <c r="J313" s="200"/>
      <c r="K313" s="200"/>
      <c r="L313" s="200"/>
      <c r="M313" s="200"/>
      <c r="N313" s="200"/>
      <c r="O313" s="200"/>
      <c r="P313" s="200"/>
      <c r="Q313" s="200"/>
      <c r="R313" s="200"/>
      <c r="S313" s="200"/>
      <c r="T313" s="200"/>
    </row>
    <row r="314" ht="13.5" customHeight="1">
      <c r="A314" s="200"/>
      <c r="B314" s="200"/>
      <c r="C314" s="200"/>
      <c r="D314" s="200"/>
      <c r="E314" s="200"/>
      <c r="F314" s="200"/>
      <c r="G314" s="200"/>
      <c r="H314" s="200"/>
      <c r="I314" s="200"/>
      <c r="J314" s="200"/>
      <c r="K314" s="200"/>
      <c r="L314" s="200"/>
      <c r="M314" s="200"/>
      <c r="N314" s="200"/>
      <c r="O314" s="200"/>
      <c r="P314" s="200"/>
      <c r="Q314" s="200"/>
      <c r="R314" s="200"/>
      <c r="S314" s="200"/>
      <c r="T314" s="200"/>
    </row>
    <row r="315" ht="13.5" customHeight="1">
      <c r="A315" s="200"/>
      <c r="B315" s="200"/>
      <c r="C315" s="200"/>
      <c r="D315" s="200"/>
      <c r="E315" s="200"/>
      <c r="F315" s="200"/>
      <c r="G315" s="200"/>
      <c r="H315" s="200"/>
      <c r="I315" s="200"/>
      <c r="J315" s="200"/>
      <c r="K315" s="200"/>
      <c r="L315" s="200"/>
      <c r="M315" s="200"/>
      <c r="N315" s="200"/>
      <c r="O315" s="200"/>
      <c r="P315" s="200"/>
      <c r="Q315" s="200"/>
      <c r="R315" s="200"/>
      <c r="S315" s="200"/>
      <c r="T315" s="200"/>
    </row>
    <row r="316" ht="13.5" customHeight="1">
      <c r="A316" s="200"/>
      <c r="B316" s="200"/>
      <c r="C316" s="200"/>
      <c r="D316" s="200"/>
      <c r="E316" s="200"/>
      <c r="F316" s="200"/>
      <c r="G316" s="200"/>
      <c r="H316" s="200"/>
      <c r="I316" s="200"/>
      <c r="J316" s="200"/>
      <c r="K316" s="200"/>
      <c r="L316" s="200"/>
      <c r="M316" s="200"/>
      <c r="N316" s="200"/>
      <c r="O316" s="200"/>
      <c r="P316" s="200"/>
      <c r="Q316" s="200"/>
      <c r="R316" s="200"/>
      <c r="S316" s="200"/>
      <c r="T316" s="200"/>
    </row>
    <row r="317" ht="13.5" customHeight="1">
      <c r="A317" s="200"/>
      <c r="B317" s="200"/>
      <c r="C317" s="200"/>
      <c r="D317" s="200"/>
      <c r="E317" s="200"/>
      <c r="F317" s="200"/>
      <c r="G317" s="200"/>
      <c r="H317" s="200"/>
      <c r="I317" s="200"/>
      <c r="J317" s="200"/>
      <c r="K317" s="200"/>
      <c r="L317" s="200"/>
      <c r="M317" s="200"/>
      <c r="N317" s="200"/>
      <c r="O317" s="200"/>
      <c r="P317" s="200"/>
      <c r="Q317" s="200"/>
      <c r="R317" s="200"/>
      <c r="S317" s="200"/>
      <c r="T317" s="200"/>
    </row>
    <row r="318" ht="13.5" customHeight="1">
      <c r="A318" s="200"/>
      <c r="B318" s="200"/>
      <c r="C318" s="200"/>
      <c r="D318" s="200"/>
      <c r="E318" s="200"/>
      <c r="F318" s="200"/>
      <c r="G318" s="200"/>
      <c r="H318" s="200"/>
      <c r="I318" s="200"/>
      <c r="J318" s="200"/>
      <c r="K318" s="200"/>
      <c r="L318" s="200"/>
      <c r="M318" s="200"/>
      <c r="N318" s="200"/>
      <c r="O318" s="200"/>
      <c r="P318" s="200"/>
      <c r="Q318" s="200"/>
      <c r="R318" s="200"/>
      <c r="S318" s="200"/>
      <c r="T318" s="200"/>
    </row>
    <row r="319" ht="13.5" customHeight="1">
      <c r="A319" s="200"/>
      <c r="B319" s="200"/>
      <c r="C319" s="200"/>
      <c r="D319" s="200"/>
      <c r="E319" s="200"/>
      <c r="F319" s="200"/>
      <c r="G319" s="200"/>
      <c r="H319" s="200"/>
      <c r="I319" s="200"/>
      <c r="J319" s="200"/>
      <c r="K319" s="200"/>
      <c r="L319" s="200"/>
      <c r="M319" s="200"/>
      <c r="N319" s="200"/>
      <c r="O319" s="200"/>
      <c r="P319" s="200"/>
      <c r="Q319" s="200"/>
      <c r="R319" s="200"/>
      <c r="S319" s="200"/>
      <c r="T319" s="200"/>
    </row>
    <row r="320" ht="13.5" customHeight="1">
      <c r="A320" s="200"/>
      <c r="B320" s="200"/>
      <c r="C320" s="200"/>
      <c r="D320" s="200"/>
      <c r="E320" s="200"/>
      <c r="F320" s="200"/>
      <c r="G320" s="200"/>
      <c r="H320" s="200"/>
      <c r="I320" s="200"/>
      <c r="J320" s="200"/>
      <c r="K320" s="200"/>
      <c r="L320" s="200"/>
      <c r="M320" s="200"/>
      <c r="N320" s="200"/>
      <c r="O320" s="200"/>
      <c r="P320" s="200"/>
      <c r="Q320" s="200"/>
      <c r="R320" s="200"/>
      <c r="S320" s="200"/>
      <c r="T320" s="200"/>
    </row>
    <row r="321" ht="13.5" customHeight="1">
      <c r="A321" s="200"/>
      <c r="B321" s="200"/>
      <c r="C321" s="200"/>
      <c r="D321" s="200"/>
      <c r="E321" s="200"/>
      <c r="F321" s="200"/>
      <c r="G321" s="200"/>
      <c r="H321" s="200"/>
      <c r="I321" s="200"/>
      <c r="J321" s="200"/>
      <c r="K321" s="200"/>
      <c r="L321" s="200"/>
      <c r="M321" s="200"/>
      <c r="N321" s="200"/>
      <c r="O321" s="200"/>
      <c r="P321" s="200"/>
      <c r="Q321" s="200"/>
      <c r="R321" s="200"/>
      <c r="S321" s="200"/>
      <c r="T321" s="200"/>
    </row>
    <row r="322" ht="13.5" customHeight="1">
      <c r="A322" s="200"/>
      <c r="B322" s="200"/>
      <c r="C322" s="200"/>
      <c r="D322" s="200"/>
      <c r="E322" s="200"/>
      <c r="F322" s="200"/>
      <c r="G322" s="200"/>
      <c r="H322" s="200"/>
      <c r="I322" s="200"/>
      <c r="J322" s="200"/>
      <c r="K322" s="200"/>
      <c r="L322" s="200"/>
      <c r="M322" s="200"/>
      <c r="N322" s="200"/>
      <c r="O322" s="200"/>
      <c r="P322" s="200"/>
      <c r="Q322" s="200"/>
      <c r="R322" s="200"/>
      <c r="S322" s="200"/>
      <c r="T322" s="200"/>
    </row>
    <row r="323" ht="13.5" customHeight="1">
      <c r="A323" s="200"/>
      <c r="B323" s="200"/>
      <c r="C323" s="200"/>
      <c r="D323" s="200"/>
      <c r="E323" s="200"/>
      <c r="F323" s="200"/>
      <c r="G323" s="200"/>
      <c r="H323" s="200"/>
      <c r="I323" s="200"/>
      <c r="J323" s="200"/>
      <c r="K323" s="200"/>
      <c r="L323" s="200"/>
      <c r="M323" s="200"/>
      <c r="N323" s="200"/>
      <c r="O323" s="200"/>
      <c r="P323" s="200"/>
      <c r="Q323" s="200"/>
      <c r="R323" s="200"/>
      <c r="S323" s="200"/>
      <c r="T323" s="200"/>
    </row>
    <row r="324" ht="13.5" customHeight="1">
      <c r="A324" s="200"/>
      <c r="B324" s="200"/>
      <c r="C324" s="200"/>
      <c r="D324" s="200"/>
      <c r="E324" s="200"/>
      <c r="F324" s="200"/>
      <c r="G324" s="200"/>
      <c r="H324" s="200"/>
      <c r="I324" s="200"/>
      <c r="J324" s="200"/>
      <c r="K324" s="200"/>
      <c r="L324" s="200"/>
      <c r="M324" s="200"/>
      <c r="N324" s="200"/>
      <c r="O324" s="200"/>
      <c r="P324" s="200"/>
      <c r="Q324" s="200"/>
      <c r="R324" s="200"/>
      <c r="S324" s="200"/>
      <c r="T324" s="200"/>
    </row>
    <row r="325" ht="13.5" customHeight="1">
      <c r="A325" s="200"/>
      <c r="B325" s="200"/>
      <c r="C325" s="200"/>
      <c r="D325" s="200"/>
      <c r="E325" s="200"/>
      <c r="F325" s="200"/>
      <c r="G325" s="200"/>
      <c r="H325" s="200"/>
      <c r="I325" s="200"/>
      <c r="J325" s="200"/>
      <c r="K325" s="200"/>
      <c r="L325" s="200"/>
      <c r="M325" s="200"/>
      <c r="N325" s="200"/>
      <c r="O325" s="200"/>
      <c r="P325" s="200"/>
      <c r="Q325" s="200"/>
      <c r="R325" s="200"/>
      <c r="S325" s="200"/>
      <c r="T325" s="200"/>
    </row>
    <row r="326" ht="13.5" customHeight="1">
      <c r="A326" s="200"/>
      <c r="B326" s="200"/>
      <c r="C326" s="200"/>
      <c r="D326" s="200"/>
      <c r="E326" s="200"/>
      <c r="F326" s="200"/>
      <c r="G326" s="200"/>
      <c r="H326" s="200"/>
      <c r="I326" s="200"/>
      <c r="J326" s="200"/>
      <c r="K326" s="200"/>
      <c r="L326" s="200"/>
      <c r="M326" s="200"/>
      <c r="N326" s="200"/>
      <c r="O326" s="200"/>
      <c r="P326" s="200"/>
      <c r="Q326" s="200"/>
      <c r="R326" s="200"/>
      <c r="S326" s="200"/>
      <c r="T326" s="200"/>
    </row>
    <row r="327" ht="13.5" customHeight="1">
      <c r="A327" s="200"/>
      <c r="B327" s="200"/>
      <c r="C327" s="200"/>
      <c r="D327" s="200"/>
      <c r="E327" s="200"/>
      <c r="F327" s="200"/>
      <c r="G327" s="200"/>
      <c r="H327" s="200"/>
      <c r="I327" s="200"/>
      <c r="J327" s="200"/>
      <c r="K327" s="200"/>
      <c r="L327" s="200"/>
      <c r="M327" s="200"/>
      <c r="N327" s="200"/>
      <c r="O327" s="200"/>
      <c r="P327" s="200"/>
      <c r="Q327" s="200"/>
      <c r="R327" s="200"/>
      <c r="S327" s="200"/>
      <c r="T327" s="200"/>
    </row>
    <row r="328" ht="13.5" customHeight="1">
      <c r="A328" s="200"/>
      <c r="B328" s="200"/>
      <c r="C328" s="200"/>
      <c r="D328" s="200"/>
      <c r="E328" s="200"/>
      <c r="F328" s="200"/>
      <c r="G328" s="200"/>
      <c r="H328" s="200"/>
      <c r="I328" s="200"/>
      <c r="J328" s="200"/>
      <c r="K328" s="200"/>
      <c r="L328" s="200"/>
      <c r="M328" s="200"/>
      <c r="N328" s="200"/>
      <c r="O328" s="200"/>
      <c r="P328" s="200"/>
      <c r="Q328" s="200"/>
      <c r="R328" s="200"/>
      <c r="S328" s="200"/>
      <c r="T328" s="200"/>
    </row>
    <row r="329" ht="13.5" customHeight="1">
      <c r="A329" s="200"/>
      <c r="B329" s="200"/>
      <c r="C329" s="200"/>
      <c r="D329" s="200"/>
      <c r="E329" s="200"/>
      <c r="F329" s="200"/>
      <c r="G329" s="200"/>
      <c r="H329" s="200"/>
      <c r="I329" s="200"/>
      <c r="J329" s="200"/>
      <c r="K329" s="200"/>
      <c r="L329" s="200"/>
      <c r="M329" s="200"/>
      <c r="N329" s="200"/>
      <c r="O329" s="200"/>
      <c r="P329" s="200"/>
      <c r="Q329" s="200"/>
      <c r="R329" s="200"/>
      <c r="S329" s="200"/>
      <c r="T329" s="200"/>
    </row>
    <row r="330" ht="13.5" customHeight="1">
      <c r="A330" s="200"/>
      <c r="B330" s="200"/>
      <c r="C330" s="200"/>
      <c r="D330" s="200"/>
      <c r="E330" s="200"/>
      <c r="F330" s="200"/>
      <c r="G330" s="200"/>
      <c r="H330" s="200"/>
      <c r="I330" s="200"/>
      <c r="J330" s="200"/>
      <c r="K330" s="200"/>
      <c r="L330" s="200"/>
      <c r="M330" s="200"/>
      <c r="N330" s="200"/>
      <c r="O330" s="200"/>
      <c r="P330" s="200"/>
      <c r="Q330" s="200"/>
      <c r="R330" s="200"/>
      <c r="S330" s="200"/>
      <c r="T330" s="200"/>
    </row>
    <row r="331" ht="13.5" customHeight="1">
      <c r="A331" s="200"/>
      <c r="B331" s="200"/>
      <c r="C331" s="200"/>
      <c r="D331" s="200"/>
      <c r="E331" s="200"/>
      <c r="F331" s="200"/>
      <c r="G331" s="200"/>
      <c r="H331" s="200"/>
      <c r="I331" s="200"/>
      <c r="J331" s="200"/>
      <c r="K331" s="200"/>
      <c r="L331" s="200"/>
      <c r="M331" s="200"/>
      <c r="N331" s="200"/>
      <c r="O331" s="200"/>
      <c r="P331" s="200"/>
      <c r="Q331" s="200"/>
      <c r="R331" s="200"/>
      <c r="S331" s="200"/>
      <c r="T331" s="200"/>
    </row>
    <row r="332" ht="13.5" customHeight="1">
      <c r="A332" s="200"/>
      <c r="B332" s="200"/>
      <c r="C332" s="200"/>
      <c r="D332" s="200"/>
      <c r="E332" s="200"/>
      <c r="F332" s="200"/>
      <c r="G332" s="200"/>
      <c r="H332" s="200"/>
      <c r="I332" s="200"/>
      <c r="J332" s="200"/>
      <c r="K332" s="200"/>
      <c r="L332" s="200"/>
      <c r="M332" s="200"/>
      <c r="N332" s="200"/>
      <c r="O332" s="200"/>
      <c r="P332" s="200"/>
      <c r="Q332" s="200"/>
      <c r="R332" s="200"/>
      <c r="S332" s="200"/>
      <c r="T332" s="200"/>
    </row>
    <row r="333" ht="13.5" customHeight="1">
      <c r="A333" s="200"/>
      <c r="B333" s="200"/>
      <c r="C333" s="200"/>
      <c r="D333" s="200"/>
      <c r="E333" s="200"/>
      <c r="F333" s="200"/>
      <c r="G333" s="200"/>
      <c r="H333" s="200"/>
      <c r="I333" s="200"/>
      <c r="J333" s="200"/>
      <c r="K333" s="200"/>
      <c r="L333" s="200"/>
      <c r="M333" s="200"/>
      <c r="N333" s="200"/>
      <c r="O333" s="200"/>
      <c r="P333" s="200"/>
      <c r="Q333" s="200"/>
      <c r="R333" s="200"/>
      <c r="S333" s="200"/>
      <c r="T333" s="200"/>
    </row>
    <row r="334" ht="13.5" customHeight="1">
      <c r="A334" s="200"/>
      <c r="B334" s="200"/>
      <c r="C334" s="200"/>
      <c r="D334" s="200"/>
      <c r="E334" s="200"/>
      <c r="F334" s="200"/>
      <c r="G334" s="200"/>
      <c r="H334" s="200"/>
      <c r="I334" s="200"/>
      <c r="J334" s="200"/>
      <c r="K334" s="200"/>
      <c r="L334" s="200"/>
      <c r="M334" s="200"/>
      <c r="N334" s="200"/>
      <c r="O334" s="200"/>
      <c r="P334" s="200"/>
      <c r="Q334" s="200"/>
      <c r="R334" s="200"/>
      <c r="S334" s="200"/>
      <c r="T334" s="200"/>
    </row>
    <row r="335" ht="13.5" customHeight="1">
      <c r="A335" s="200"/>
      <c r="B335" s="200"/>
      <c r="C335" s="200"/>
      <c r="D335" s="200"/>
      <c r="E335" s="200"/>
      <c r="F335" s="200"/>
      <c r="G335" s="200"/>
      <c r="H335" s="200"/>
      <c r="I335" s="200"/>
      <c r="J335" s="200"/>
      <c r="K335" s="200"/>
      <c r="L335" s="200"/>
      <c r="M335" s="200"/>
      <c r="N335" s="200"/>
      <c r="O335" s="200"/>
      <c r="P335" s="200"/>
      <c r="Q335" s="200"/>
      <c r="R335" s="200"/>
      <c r="S335" s="200"/>
      <c r="T335" s="200"/>
    </row>
    <row r="336" ht="13.5" customHeight="1">
      <c r="A336" s="200"/>
      <c r="B336" s="200"/>
      <c r="C336" s="200"/>
      <c r="D336" s="200"/>
      <c r="E336" s="200"/>
      <c r="F336" s="200"/>
      <c r="G336" s="200"/>
      <c r="H336" s="200"/>
      <c r="I336" s="200"/>
      <c r="J336" s="200"/>
      <c r="K336" s="200"/>
      <c r="L336" s="200"/>
      <c r="M336" s="200"/>
      <c r="N336" s="200"/>
      <c r="O336" s="200"/>
      <c r="P336" s="200"/>
      <c r="Q336" s="200"/>
      <c r="R336" s="200"/>
      <c r="S336" s="200"/>
      <c r="T336" s="200"/>
    </row>
    <row r="337" ht="13.5" customHeight="1">
      <c r="A337" s="200"/>
      <c r="B337" s="200"/>
      <c r="C337" s="200"/>
      <c r="D337" s="200"/>
      <c r="E337" s="200"/>
      <c r="F337" s="200"/>
      <c r="G337" s="200"/>
      <c r="H337" s="200"/>
      <c r="I337" s="200"/>
      <c r="J337" s="200"/>
      <c r="K337" s="200"/>
      <c r="L337" s="200"/>
      <c r="M337" s="200"/>
      <c r="N337" s="200"/>
      <c r="O337" s="200"/>
      <c r="P337" s="200"/>
      <c r="Q337" s="200"/>
      <c r="R337" s="200"/>
      <c r="S337" s="200"/>
      <c r="T337" s="200"/>
    </row>
    <row r="338" ht="13.5" customHeight="1">
      <c r="A338" s="200"/>
      <c r="B338" s="200"/>
      <c r="C338" s="200"/>
      <c r="D338" s="200"/>
      <c r="E338" s="200"/>
      <c r="F338" s="200"/>
      <c r="G338" s="200"/>
      <c r="H338" s="200"/>
      <c r="I338" s="200"/>
      <c r="J338" s="200"/>
      <c r="K338" s="200"/>
      <c r="L338" s="200"/>
      <c r="M338" s="200"/>
      <c r="N338" s="200"/>
      <c r="O338" s="200"/>
      <c r="P338" s="200"/>
      <c r="Q338" s="200"/>
      <c r="R338" s="200"/>
      <c r="S338" s="200"/>
      <c r="T338" s="200"/>
    </row>
    <row r="339" ht="13.5" customHeight="1">
      <c r="A339" s="200"/>
      <c r="B339" s="200"/>
      <c r="C339" s="200"/>
      <c r="D339" s="200"/>
      <c r="E339" s="200"/>
      <c r="F339" s="200"/>
      <c r="G339" s="200"/>
      <c r="H339" s="200"/>
      <c r="I339" s="200"/>
      <c r="J339" s="200"/>
      <c r="K339" s="200"/>
      <c r="L339" s="200"/>
      <c r="M339" s="200"/>
      <c r="N339" s="200"/>
      <c r="O339" s="200"/>
      <c r="P339" s="200"/>
      <c r="Q339" s="200"/>
      <c r="R339" s="200"/>
      <c r="S339" s="200"/>
      <c r="T339" s="200"/>
    </row>
    <row r="340" ht="13.5" customHeight="1">
      <c r="A340" s="200"/>
      <c r="B340" s="200"/>
      <c r="C340" s="200"/>
      <c r="D340" s="200"/>
      <c r="E340" s="200"/>
      <c r="F340" s="200"/>
      <c r="G340" s="200"/>
      <c r="H340" s="200"/>
      <c r="I340" s="200"/>
      <c r="J340" s="200"/>
      <c r="K340" s="200"/>
      <c r="L340" s="200"/>
      <c r="M340" s="200"/>
      <c r="N340" s="200"/>
      <c r="O340" s="200"/>
      <c r="P340" s="200"/>
      <c r="Q340" s="200"/>
      <c r="R340" s="200"/>
      <c r="S340" s="200"/>
      <c r="T340" s="200"/>
    </row>
    <row r="341" ht="13.5" customHeight="1">
      <c r="A341" s="200"/>
      <c r="B341" s="200"/>
      <c r="C341" s="200"/>
      <c r="D341" s="200"/>
      <c r="E341" s="200"/>
      <c r="F341" s="200"/>
      <c r="G341" s="200"/>
      <c r="H341" s="200"/>
      <c r="I341" s="200"/>
      <c r="J341" s="200"/>
      <c r="K341" s="200"/>
      <c r="L341" s="200"/>
      <c r="M341" s="200"/>
      <c r="N341" s="200"/>
      <c r="O341" s="200"/>
      <c r="P341" s="200"/>
      <c r="Q341" s="200"/>
      <c r="R341" s="200"/>
      <c r="S341" s="200"/>
      <c r="T341" s="200"/>
    </row>
    <row r="342" ht="13.5" customHeight="1">
      <c r="A342" s="200"/>
      <c r="B342" s="200"/>
      <c r="C342" s="200"/>
      <c r="D342" s="200"/>
      <c r="E342" s="200"/>
      <c r="F342" s="200"/>
      <c r="G342" s="200"/>
      <c r="H342" s="200"/>
      <c r="I342" s="200"/>
      <c r="J342" s="200"/>
      <c r="K342" s="200"/>
      <c r="L342" s="200"/>
      <c r="M342" s="200"/>
      <c r="N342" s="200"/>
      <c r="O342" s="200"/>
      <c r="P342" s="200"/>
      <c r="Q342" s="200"/>
      <c r="R342" s="200"/>
      <c r="S342" s="200"/>
      <c r="T342" s="200"/>
    </row>
    <row r="343" ht="13.5" customHeight="1">
      <c r="A343" s="200"/>
      <c r="B343" s="200"/>
      <c r="C343" s="200"/>
      <c r="D343" s="200"/>
      <c r="E343" s="200"/>
      <c r="F343" s="200"/>
      <c r="G343" s="200"/>
      <c r="H343" s="200"/>
      <c r="I343" s="200"/>
      <c r="J343" s="200"/>
      <c r="K343" s="200"/>
      <c r="L343" s="200"/>
      <c r="M343" s="200"/>
      <c r="N343" s="200"/>
      <c r="O343" s="200"/>
      <c r="P343" s="200"/>
      <c r="Q343" s="200"/>
      <c r="R343" s="200"/>
      <c r="S343" s="200"/>
      <c r="T343" s="200"/>
    </row>
    <row r="344" ht="13.5" customHeight="1">
      <c r="A344" s="200"/>
      <c r="B344" s="200"/>
      <c r="C344" s="200"/>
      <c r="D344" s="200"/>
      <c r="E344" s="200"/>
      <c r="F344" s="200"/>
      <c r="G344" s="200"/>
      <c r="H344" s="200"/>
      <c r="I344" s="200"/>
      <c r="J344" s="200"/>
      <c r="K344" s="200"/>
      <c r="L344" s="200"/>
      <c r="M344" s="200"/>
      <c r="N344" s="200"/>
      <c r="O344" s="200"/>
      <c r="P344" s="200"/>
      <c r="Q344" s="200"/>
      <c r="R344" s="200"/>
      <c r="S344" s="200"/>
      <c r="T344" s="200"/>
    </row>
    <row r="345" ht="13.5" customHeight="1">
      <c r="A345" s="200"/>
      <c r="B345" s="200"/>
      <c r="C345" s="200"/>
      <c r="D345" s="200"/>
      <c r="E345" s="200"/>
      <c r="F345" s="200"/>
      <c r="G345" s="200"/>
      <c r="H345" s="200"/>
      <c r="I345" s="200"/>
      <c r="J345" s="200"/>
      <c r="K345" s="200"/>
      <c r="L345" s="200"/>
      <c r="M345" s="200"/>
      <c r="N345" s="200"/>
      <c r="O345" s="200"/>
      <c r="P345" s="200"/>
      <c r="Q345" s="200"/>
      <c r="R345" s="200"/>
      <c r="S345" s="200"/>
      <c r="T345" s="200"/>
    </row>
    <row r="346" ht="13.5" customHeight="1">
      <c r="A346" s="200"/>
      <c r="B346" s="200"/>
      <c r="C346" s="200"/>
      <c r="D346" s="200"/>
      <c r="E346" s="200"/>
      <c r="F346" s="200"/>
      <c r="G346" s="200"/>
      <c r="H346" s="200"/>
      <c r="I346" s="200"/>
      <c r="J346" s="200"/>
      <c r="K346" s="200"/>
      <c r="L346" s="200"/>
      <c r="M346" s="200"/>
      <c r="N346" s="200"/>
      <c r="O346" s="200"/>
      <c r="P346" s="200"/>
      <c r="Q346" s="200"/>
      <c r="R346" s="200"/>
      <c r="S346" s="200"/>
      <c r="T346" s="200"/>
    </row>
    <row r="347" ht="13.5" customHeight="1">
      <c r="A347" s="200"/>
      <c r="B347" s="200"/>
      <c r="C347" s="200"/>
      <c r="D347" s="200"/>
      <c r="E347" s="200"/>
      <c r="F347" s="200"/>
      <c r="G347" s="200"/>
      <c r="H347" s="200"/>
      <c r="I347" s="200"/>
      <c r="J347" s="200"/>
      <c r="K347" s="200"/>
      <c r="L347" s="200"/>
      <c r="M347" s="200"/>
      <c r="N347" s="200"/>
      <c r="O347" s="200"/>
      <c r="P347" s="200"/>
      <c r="Q347" s="200"/>
      <c r="R347" s="200"/>
      <c r="S347" s="200"/>
      <c r="T347" s="200"/>
    </row>
    <row r="348" ht="13.5" customHeight="1">
      <c r="A348" s="200"/>
      <c r="B348" s="200"/>
      <c r="C348" s="200"/>
      <c r="D348" s="200"/>
      <c r="E348" s="200"/>
      <c r="F348" s="200"/>
      <c r="G348" s="200"/>
      <c r="H348" s="200"/>
      <c r="I348" s="200"/>
      <c r="J348" s="200"/>
      <c r="K348" s="200"/>
      <c r="L348" s="200"/>
      <c r="M348" s="200"/>
      <c r="N348" s="200"/>
      <c r="O348" s="200"/>
      <c r="P348" s="200"/>
      <c r="Q348" s="200"/>
      <c r="R348" s="200"/>
      <c r="S348" s="200"/>
      <c r="T348" s="200"/>
    </row>
    <row r="349" ht="13.5" customHeight="1">
      <c r="A349" s="200"/>
      <c r="B349" s="200"/>
      <c r="C349" s="200"/>
      <c r="D349" s="200"/>
      <c r="E349" s="200"/>
      <c r="F349" s="200"/>
      <c r="G349" s="200"/>
      <c r="H349" s="200"/>
      <c r="I349" s="200"/>
      <c r="J349" s="200"/>
      <c r="K349" s="200"/>
      <c r="L349" s="200"/>
      <c r="M349" s="200"/>
      <c r="N349" s="200"/>
      <c r="O349" s="200"/>
      <c r="P349" s="200"/>
      <c r="Q349" s="200"/>
      <c r="R349" s="200"/>
      <c r="S349" s="200"/>
      <c r="T349" s="200"/>
    </row>
    <row r="350" ht="13.5" customHeight="1">
      <c r="A350" s="200"/>
      <c r="B350" s="200"/>
      <c r="C350" s="200"/>
      <c r="D350" s="200"/>
      <c r="E350" s="200"/>
      <c r="F350" s="200"/>
      <c r="G350" s="200"/>
      <c r="H350" s="200"/>
      <c r="I350" s="200"/>
      <c r="J350" s="200"/>
      <c r="K350" s="200"/>
      <c r="L350" s="200"/>
      <c r="M350" s="200"/>
      <c r="N350" s="200"/>
      <c r="O350" s="200"/>
      <c r="P350" s="200"/>
      <c r="Q350" s="200"/>
      <c r="R350" s="200"/>
      <c r="S350" s="200"/>
      <c r="T350" s="200"/>
    </row>
    <row r="351" ht="13.5" customHeight="1">
      <c r="A351" s="200"/>
      <c r="B351" s="200"/>
      <c r="C351" s="200"/>
      <c r="D351" s="200"/>
      <c r="E351" s="200"/>
      <c r="F351" s="200"/>
      <c r="G351" s="200"/>
      <c r="H351" s="200"/>
      <c r="I351" s="200"/>
      <c r="J351" s="200"/>
      <c r="K351" s="200"/>
      <c r="L351" s="200"/>
      <c r="M351" s="200"/>
      <c r="N351" s="200"/>
      <c r="O351" s="200"/>
      <c r="P351" s="200"/>
      <c r="Q351" s="200"/>
      <c r="R351" s="200"/>
      <c r="S351" s="200"/>
      <c r="T351" s="200"/>
    </row>
    <row r="352" ht="13.5" customHeight="1">
      <c r="A352" s="200"/>
      <c r="B352" s="200"/>
      <c r="C352" s="200"/>
      <c r="D352" s="200"/>
      <c r="E352" s="200"/>
      <c r="F352" s="200"/>
      <c r="G352" s="200"/>
      <c r="H352" s="200"/>
      <c r="I352" s="200"/>
      <c r="J352" s="200"/>
      <c r="K352" s="200"/>
      <c r="L352" s="200"/>
      <c r="M352" s="200"/>
      <c r="N352" s="200"/>
      <c r="O352" s="200"/>
      <c r="P352" s="200"/>
      <c r="Q352" s="200"/>
      <c r="R352" s="200"/>
      <c r="S352" s="200"/>
      <c r="T352" s="200"/>
    </row>
    <row r="353" ht="13.5" customHeight="1">
      <c r="A353" s="200"/>
      <c r="B353" s="200"/>
      <c r="C353" s="200"/>
      <c r="D353" s="200"/>
      <c r="E353" s="200"/>
      <c r="F353" s="200"/>
      <c r="G353" s="200"/>
      <c r="H353" s="200"/>
      <c r="I353" s="200"/>
      <c r="J353" s="200"/>
      <c r="K353" s="200"/>
      <c r="L353" s="200"/>
      <c r="M353" s="200"/>
      <c r="N353" s="200"/>
      <c r="O353" s="200"/>
      <c r="P353" s="200"/>
      <c r="Q353" s="200"/>
      <c r="R353" s="200"/>
      <c r="S353" s="200"/>
      <c r="T353" s="200"/>
    </row>
    <row r="354" ht="13.5" customHeight="1">
      <c r="A354" s="200"/>
      <c r="B354" s="200"/>
      <c r="C354" s="200"/>
      <c r="D354" s="200"/>
      <c r="E354" s="200"/>
      <c r="F354" s="200"/>
      <c r="G354" s="200"/>
      <c r="H354" s="200"/>
      <c r="I354" s="200"/>
      <c r="J354" s="200"/>
      <c r="K354" s="200"/>
      <c r="L354" s="200"/>
      <c r="M354" s="200"/>
      <c r="N354" s="200"/>
      <c r="O354" s="200"/>
      <c r="P354" s="200"/>
      <c r="Q354" s="200"/>
      <c r="R354" s="200"/>
      <c r="S354" s="200"/>
      <c r="T354" s="200"/>
    </row>
    <row r="355" ht="13.5" customHeight="1">
      <c r="A355" s="200"/>
      <c r="B355" s="200"/>
      <c r="C355" s="200"/>
      <c r="D355" s="200"/>
      <c r="E355" s="200"/>
      <c r="F355" s="200"/>
      <c r="G355" s="200"/>
      <c r="H355" s="200"/>
      <c r="I355" s="200"/>
      <c r="J355" s="200"/>
      <c r="K355" s="200"/>
      <c r="L355" s="200"/>
      <c r="M355" s="200"/>
      <c r="N355" s="200"/>
      <c r="O355" s="200"/>
      <c r="P355" s="200"/>
      <c r="Q355" s="200"/>
      <c r="R355" s="200"/>
      <c r="S355" s="200"/>
      <c r="T355" s="200"/>
    </row>
    <row r="356" ht="13.5" customHeight="1">
      <c r="A356" s="200"/>
      <c r="B356" s="200"/>
      <c r="C356" s="200"/>
      <c r="D356" s="200"/>
      <c r="E356" s="200"/>
      <c r="F356" s="200"/>
      <c r="G356" s="200"/>
      <c r="H356" s="200"/>
      <c r="I356" s="200"/>
      <c r="J356" s="200"/>
      <c r="K356" s="200"/>
      <c r="L356" s="200"/>
      <c r="M356" s="200"/>
      <c r="N356" s="200"/>
      <c r="O356" s="200"/>
      <c r="P356" s="200"/>
      <c r="Q356" s="200"/>
      <c r="R356" s="200"/>
      <c r="S356" s="200"/>
      <c r="T356" s="200"/>
    </row>
    <row r="357" ht="13.5" customHeight="1">
      <c r="A357" s="200"/>
      <c r="B357" s="200"/>
      <c r="C357" s="200"/>
      <c r="D357" s="200"/>
      <c r="E357" s="200"/>
      <c r="F357" s="200"/>
      <c r="G357" s="200"/>
      <c r="H357" s="200"/>
      <c r="I357" s="200"/>
      <c r="J357" s="200"/>
      <c r="K357" s="200"/>
      <c r="L357" s="200"/>
      <c r="M357" s="200"/>
      <c r="N357" s="200"/>
      <c r="O357" s="200"/>
      <c r="P357" s="200"/>
      <c r="Q357" s="200"/>
      <c r="R357" s="200"/>
      <c r="S357" s="200"/>
      <c r="T357" s="200"/>
    </row>
    <row r="358" ht="13.5" customHeight="1">
      <c r="A358" s="200"/>
      <c r="B358" s="200"/>
      <c r="C358" s="200"/>
      <c r="D358" s="200"/>
      <c r="E358" s="200"/>
      <c r="F358" s="200"/>
      <c r="G358" s="200"/>
      <c r="H358" s="200"/>
      <c r="I358" s="200"/>
      <c r="J358" s="200"/>
      <c r="K358" s="200"/>
      <c r="L358" s="200"/>
      <c r="M358" s="200"/>
      <c r="N358" s="200"/>
      <c r="O358" s="200"/>
      <c r="P358" s="200"/>
      <c r="Q358" s="200"/>
      <c r="R358" s="200"/>
      <c r="S358" s="200"/>
      <c r="T358" s="200"/>
    </row>
    <row r="359" ht="13.5" customHeight="1">
      <c r="A359" s="200"/>
      <c r="B359" s="200"/>
      <c r="C359" s="200"/>
      <c r="D359" s="200"/>
      <c r="E359" s="200"/>
      <c r="F359" s="200"/>
      <c r="G359" s="200"/>
      <c r="H359" s="200"/>
      <c r="I359" s="200"/>
      <c r="J359" s="200"/>
      <c r="K359" s="200"/>
      <c r="L359" s="200"/>
      <c r="M359" s="200"/>
      <c r="N359" s="200"/>
      <c r="O359" s="200"/>
      <c r="P359" s="200"/>
      <c r="Q359" s="200"/>
      <c r="R359" s="200"/>
      <c r="S359" s="200"/>
      <c r="T359" s="200"/>
    </row>
    <row r="360" ht="13.5" customHeight="1">
      <c r="A360" s="200"/>
      <c r="B360" s="200"/>
      <c r="C360" s="200"/>
      <c r="D360" s="200"/>
      <c r="E360" s="200"/>
      <c r="F360" s="200"/>
      <c r="G360" s="200"/>
      <c r="H360" s="200"/>
      <c r="I360" s="200"/>
      <c r="J360" s="200"/>
      <c r="K360" s="200"/>
      <c r="L360" s="200"/>
      <c r="M360" s="200"/>
      <c r="N360" s="200"/>
      <c r="O360" s="200"/>
      <c r="P360" s="200"/>
      <c r="Q360" s="200"/>
      <c r="R360" s="200"/>
      <c r="S360" s="200"/>
      <c r="T360" s="200"/>
    </row>
    <row r="361" ht="13.5" customHeight="1">
      <c r="A361" s="200"/>
      <c r="B361" s="200"/>
      <c r="C361" s="200"/>
      <c r="D361" s="200"/>
      <c r="E361" s="200"/>
      <c r="F361" s="200"/>
      <c r="G361" s="200"/>
      <c r="H361" s="200"/>
      <c r="I361" s="200"/>
      <c r="J361" s="200"/>
      <c r="K361" s="200"/>
      <c r="L361" s="200"/>
      <c r="M361" s="200"/>
      <c r="N361" s="200"/>
      <c r="O361" s="200"/>
      <c r="P361" s="200"/>
      <c r="Q361" s="200"/>
      <c r="R361" s="200"/>
      <c r="S361" s="200"/>
      <c r="T361" s="200"/>
    </row>
    <row r="362" ht="13.5" customHeight="1">
      <c r="A362" s="200"/>
      <c r="B362" s="200"/>
      <c r="C362" s="200"/>
      <c r="D362" s="200"/>
      <c r="E362" s="200"/>
      <c r="F362" s="200"/>
      <c r="G362" s="200"/>
      <c r="H362" s="200"/>
      <c r="I362" s="200"/>
      <c r="J362" s="200"/>
      <c r="K362" s="200"/>
      <c r="L362" s="200"/>
      <c r="M362" s="200"/>
      <c r="N362" s="200"/>
      <c r="O362" s="200"/>
      <c r="P362" s="200"/>
      <c r="Q362" s="200"/>
      <c r="R362" s="200"/>
      <c r="S362" s="200"/>
      <c r="T362" s="200"/>
    </row>
    <row r="363" ht="13.5" customHeight="1">
      <c r="A363" s="200"/>
      <c r="B363" s="200"/>
      <c r="C363" s="200"/>
      <c r="D363" s="200"/>
      <c r="E363" s="200"/>
      <c r="F363" s="200"/>
      <c r="G363" s="200"/>
      <c r="H363" s="200"/>
      <c r="I363" s="200"/>
      <c r="J363" s="200"/>
      <c r="K363" s="200"/>
      <c r="L363" s="200"/>
      <c r="M363" s="200"/>
      <c r="N363" s="200"/>
      <c r="O363" s="200"/>
      <c r="P363" s="200"/>
      <c r="Q363" s="200"/>
      <c r="R363" s="200"/>
      <c r="S363" s="200"/>
      <c r="T363" s="200"/>
    </row>
    <row r="364" ht="13.5" customHeight="1">
      <c r="A364" s="200"/>
      <c r="B364" s="200"/>
      <c r="C364" s="200"/>
      <c r="D364" s="200"/>
      <c r="E364" s="200"/>
      <c r="F364" s="200"/>
      <c r="G364" s="200"/>
      <c r="H364" s="200"/>
      <c r="I364" s="200"/>
      <c r="J364" s="200"/>
      <c r="K364" s="200"/>
      <c r="L364" s="200"/>
      <c r="M364" s="200"/>
      <c r="N364" s="200"/>
      <c r="O364" s="200"/>
      <c r="P364" s="200"/>
      <c r="Q364" s="200"/>
      <c r="R364" s="200"/>
      <c r="S364" s="200"/>
      <c r="T364" s="200"/>
    </row>
    <row r="365" ht="13.5" customHeight="1">
      <c r="A365" s="200"/>
      <c r="B365" s="200"/>
      <c r="C365" s="200"/>
      <c r="D365" s="200"/>
      <c r="E365" s="200"/>
      <c r="F365" s="200"/>
      <c r="G365" s="200"/>
      <c r="H365" s="200"/>
      <c r="I365" s="200"/>
      <c r="J365" s="200"/>
      <c r="K365" s="200"/>
      <c r="L365" s="200"/>
      <c r="M365" s="200"/>
      <c r="N365" s="200"/>
      <c r="O365" s="200"/>
      <c r="P365" s="200"/>
      <c r="Q365" s="200"/>
      <c r="R365" s="200"/>
      <c r="S365" s="200"/>
      <c r="T365" s="200"/>
    </row>
    <row r="366" ht="13.5" customHeight="1">
      <c r="A366" s="200"/>
      <c r="B366" s="200"/>
      <c r="C366" s="200"/>
      <c r="D366" s="200"/>
      <c r="E366" s="200"/>
      <c r="F366" s="200"/>
      <c r="G366" s="200"/>
      <c r="H366" s="200"/>
      <c r="I366" s="200"/>
      <c r="J366" s="200"/>
      <c r="K366" s="200"/>
      <c r="L366" s="200"/>
      <c r="M366" s="200"/>
      <c r="N366" s="200"/>
      <c r="O366" s="200"/>
      <c r="P366" s="200"/>
      <c r="Q366" s="200"/>
      <c r="R366" s="200"/>
      <c r="S366" s="200"/>
      <c r="T366" s="200"/>
    </row>
    <row r="367" ht="13.5" customHeight="1">
      <c r="A367" s="200"/>
      <c r="B367" s="200"/>
      <c r="C367" s="200"/>
      <c r="D367" s="200"/>
      <c r="E367" s="200"/>
      <c r="F367" s="200"/>
      <c r="G367" s="200"/>
      <c r="H367" s="200"/>
      <c r="I367" s="200"/>
      <c r="J367" s="200"/>
      <c r="K367" s="200"/>
      <c r="L367" s="200"/>
      <c r="M367" s="200"/>
      <c r="N367" s="200"/>
      <c r="O367" s="200"/>
      <c r="P367" s="200"/>
      <c r="Q367" s="200"/>
      <c r="R367" s="200"/>
      <c r="S367" s="200"/>
      <c r="T367" s="200"/>
    </row>
    <row r="368" ht="13.5" customHeight="1">
      <c r="A368" s="200"/>
      <c r="B368" s="200"/>
      <c r="C368" s="200"/>
      <c r="D368" s="200"/>
      <c r="E368" s="200"/>
      <c r="F368" s="200"/>
      <c r="G368" s="200"/>
      <c r="H368" s="200"/>
      <c r="I368" s="200"/>
      <c r="J368" s="200"/>
      <c r="K368" s="200"/>
      <c r="L368" s="200"/>
      <c r="M368" s="200"/>
      <c r="N368" s="200"/>
      <c r="O368" s="200"/>
      <c r="P368" s="200"/>
      <c r="Q368" s="200"/>
      <c r="R368" s="200"/>
      <c r="S368" s="200"/>
      <c r="T368" s="200"/>
    </row>
    <row r="369" ht="13.5" customHeight="1">
      <c r="A369" s="200"/>
      <c r="B369" s="200"/>
      <c r="C369" s="200"/>
      <c r="D369" s="200"/>
      <c r="E369" s="200"/>
      <c r="F369" s="200"/>
      <c r="G369" s="200"/>
      <c r="H369" s="200"/>
      <c r="I369" s="200"/>
      <c r="J369" s="200"/>
      <c r="K369" s="200"/>
      <c r="L369" s="200"/>
      <c r="M369" s="200"/>
      <c r="N369" s="200"/>
      <c r="O369" s="200"/>
      <c r="P369" s="200"/>
      <c r="Q369" s="200"/>
      <c r="R369" s="200"/>
      <c r="S369" s="200"/>
      <c r="T369" s="200"/>
    </row>
    <row r="370" ht="13.5" customHeight="1">
      <c r="A370" s="200"/>
      <c r="B370" s="200"/>
      <c r="C370" s="200"/>
      <c r="D370" s="200"/>
      <c r="E370" s="200"/>
      <c r="F370" s="200"/>
      <c r="G370" s="200"/>
      <c r="H370" s="200"/>
      <c r="I370" s="200"/>
      <c r="J370" s="200"/>
      <c r="K370" s="200"/>
      <c r="L370" s="200"/>
      <c r="M370" s="200"/>
      <c r="N370" s="200"/>
      <c r="O370" s="200"/>
      <c r="P370" s="200"/>
      <c r="Q370" s="200"/>
      <c r="R370" s="200"/>
      <c r="S370" s="200"/>
      <c r="T370" s="200"/>
    </row>
    <row r="371" ht="13.5" customHeight="1">
      <c r="A371" s="200"/>
      <c r="B371" s="200"/>
      <c r="C371" s="200"/>
      <c r="D371" s="200"/>
      <c r="E371" s="200"/>
      <c r="F371" s="200"/>
      <c r="G371" s="200"/>
      <c r="H371" s="200"/>
      <c r="I371" s="200"/>
      <c r="J371" s="200"/>
      <c r="K371" s="200"/>
      <c r="L371" s="200"/>
      <c r="M371" s="200"/>
      <c r="N371" s="200"/>
      <c r="O371" s="200"/>
      <c r="P371" s="200"/>
      <c r="Q371" s="200"/>
      <c r="R371" s="200"/>
      <c r="S371" s="200"/>
      <c r="T371" s="200"/>
    </row>
    <row r="372" ht="13.5" customHeight="1">
      <c r="A372" s="200"/>
      <c r="B372" s="200"/>
      <c r="C372" s="200"/>
      <c r="D372" s="200"/>
      <c r="E372" s="200"/>
      <c r="F372" s="200"/>
      <c r="G372" s="200"/>
      <c r="H372" s="200"/>
      <c r="I372" s="200"/>
      <c r="J372" s="200"/>
      <c r="K372" s="200"/>
      <c r="L372" s="200"/>
      <c r="M372" s="200"/>
      <c r="N372" s="200"/>
      <c r="O372" s="200"/>
      <c r="P372" s="200"/>
      <c r="Q372" s="200"/>
      <c r="R372" s="200"/>
      <c r="S372" s="200"/>
      <c r="T372" s="200"/>
    </row>
    <row r="373" ht="13.5" customHeight="1">
      <c r="A373" s="200"/>
      <c r="B373" s="200"/>
      <c r="C373" s="200"/>
      <c r="D373" s="200"/>
      <c r="E373" s="200"/>
      <c r="F373" s="200"/>
      <c r="G373" s="200"/>
      <c r="H373" s="200"/>
      <c r="I373" s="200"/>
      <c r="J373" s="200"/>
      <c r="K373" s="200"/>
      <c r="L373" s="200"/>
      <c r="M373" s="200"/>
      <c r="N373" s="200"/>
      <c r="O373" s="200"/>
      <c r="P373" s="200"/>
      <c r="Q373" s="200"/>
      <c r="R373" s="200"/>
      <c r="S373" s="200"/>
      <c r="T373" s="200"/>
    </row>
    <row r="374" ht="13.5" customHeight="1">
      <c r="A374" s="200"/>
      <c r="B374" s="200"/>
      <c r="C374" s="200"/>
      <c r="D374" s="200"/>
      <c r="E374" s="200"/>
      <c r="F374" s="200"/>
      <c r="G374" s="200"/>
      <c r="H374" s="200"/>
      <c r="I374" s="200"/>
      <c r="J374" s="200"/>
      <c r="K374" s="200"/>
      <c r="L374" s="200"/>
      <c r="M374" s="200"/>
      <c r="N374" s="200"/>
      <c r="O374" s="200"/>
      <c r="P374" s="200"/>
      <c r="Q374" s="200"/>
      <c r="R374" s="200"/>
      <c r="S374" s="200"/>
      <c r="T374" s="200"/>
    </row>
    <row r="375" ht="13.5" customHeight="1">
      <c r="A375" s="200"/>
      <c r="B375" s="200"/>
      <c r="C375" s="200"/>
      <c r="D375" s="200"/>
      <c r="E375" s="200"/>
      <c r="F375" s="200"/>
      <c r="G375" s="200"/>
      <c r="H375" s="200"/>
      <c r="I375" s="200"/>
      <c r="J375" s="200"/>
      <c r="K375" s="200"/>
      <c r="L375" s="200"/>
      <c r="M375" s="200"/>
      <c r="N375" s="200"/>
      <c r="O375" s="200"/>
      <c r="P375" s="200"/>
      <c r="Q375" s="200"/>
      <c r="R375" s="200"/>
      <c r="S375" s="200"/>
      <c r="T375" s="200"/>
    </row>
    <row r="376" ht="13.5" customHeight="1">
      <c r="A376" s="200"/>
      <c r="B376" s="200"/>
      <c r="C376" s="200"/>
      <c r="D376" s="200"/>
      <c r="E376" s="200"/>
      <c r="F376" s="200"/>
      <c r="G376" s="200"/>
      <c r="H376" s="200"/>
      <c r="I376" s="200"/>
      <c r="J376" s="200"/>
      <c r="K376" s="200"/>
      <c r="L376" s="200"/>
      <c r="M376" s="200"/>
      <c r="N376" s="200"/>
      <c r="O376" s="200"/>
      <c r="P376" s="200"/>
      <c r="Q376" s="200"/>
      <c r="R376" s="200"/>
      <c r="S376" s="200"/>
      <c r="T376" s="200"/>
    </row>
    <row r="377" ht="13.5" customHeight="1">
      <c r="A377" s="200"/>
      <c r="B377" s="200"/>
      <c r="C377" s="200"/>
      <c r="D377" s="200"/>
      <c r="E377" s="200"/>
      <c r="F377" s="200"/>
      <c r="G377" s="200"/>
      <c r="H377" s="200"/>
      <c r="I377" s="200"/>
      <c r="J377" s="200"/>
      <c r="K377" s="200"/>
      <c r="L377" s="200"/>
      <c r="M377" s="200"/>
      <c r="N377" s="200"/>
      <c r="O377" s="200"/>
      <c r="P377" s="200"/>
      <c r="Q377" s="200"/>
      <c r="R377" s="200"/>
      <c r="S377" s="200"/>
      <c r="T377" s="200"/>
    </row>
    <row r="378" ht="13.5" customHeight="1">
      <c r="A378" s="200"/>
      <c r="B378" s="200"/>
      <c r="C378" s="200"/>
      <c r="D378" s="200"/>
      <c r="E378" s="200"/>
      <c r="F378" s="200"/>
      <c r="G378" s="200"/>
      <c r="H378" s="200"/>
      <c r="I378" s="200"/>
      <c r="J378" s="200"/>
      <c r="K378" s="200"/>
      <c r="L378" s="200"/>
      <c r="M378" s="200"/>
      <c r="N378" s="200"/>
      <c r="O378" s="200"/>
      <c r="P378" s="200"/>
      <c r="Q378" s="200"/>
      <c r="R378" s="200"/>
      <c r="S378" s="200"/>
      <c r="T378" s="200"/>
    </row>
    <row r="379" ht="13.5" customHeight="1">
      <c r="A379" s="200"/>
      <c r="B379" s="200"/>
      <c r="C379" s="200"/>
      <c r="D379" s="200"/>
      <c r="E379" s="200"/>
      <c r="F379" s="200"/>
      <c r="G379" s="200"/>
      <c r="H379" s="200"/>
      <c r="I379" s="200"/>
      <c r="J379" s="200"/>
      <c r="K379" s="200"/>
      <c r="L379" s="200"/>
      <c r="M379" s="200"/>
      <c r="N379" s="200"/>
      <c r="O379" s="200"/>
      <c r="P379" s="200"/>
      <c r="Q379" s="200"/>
      <c r="R379" s="200"/>
      <c r="S379" s="200"/>
      <c r="T379" s="200"/>
    </row>
    <row r="380" ht="13.5" customHeight="1">
      <c r="A380" s="200"/>
      <c r="B380" s="200"/>
      <c r="C380" s="200"/>
      <c r="D380" s="200"/>
      <c r="E380" s="200"/>
      <c r="F380" s="200"/>
      <c r="G380" s="200"/>
      <c r="H380" s="200"/>
      <c r="I380" s="200"/>
      <c r="J380" s="200"/>
      <c r="K380" s="200"/>
      <c r="L380" s="200"/>
      <c r="M380" s="200"/>
      <c r="N380" s="200"/>
      <c r="O380" s="200"/>
      <c r="P380" s="200"/>
      <c r="Q380" s="200"/>
      <c r="R380" s="200"/>
      <c r="S380" s="200"/>
      <c r="T380" s="200"/>
    </row>
    <row r="381" ht="13.5" customHeight="1">
      <c r="A381" s="200"/>
      <c r="B381" s="200"/>
      <c r="C381" s="200"/>
      <c r="D381" s="200"/>
      <c r="E381" s="200"/>
      <c r="F381" s="200"/>
      <c r="G381" s="200"/>
      <c r="H381" s="200"/>
      <c r="I381" s="200"/>
      <c r="J381" s="200"/>
      <c r="K381" s="200"/>
      <c r="L381" s="200"/>
      <c r="M381" s="200"/>
      <c r="N381" s="200"/>
      <c r="O381" s="200"/>
      <c r="P381" s="200"/>
      <c r="Q381" s="200"/>
      <c r="R381" s="200"/>
      <c r="S381" s="200"/>
      <c r="T381" s="200"/>
    </row>
    <row r="382" ht="13.5" customHeight="1">
      <c r="A382" s="200"/>
      <c r="B382" s="200"/>
      <c r="C382" s="200"/>
      <c r="D382" s="200"/>
      <c r="E382" s="200"/>
      <c r="F382" s="200"/>
      <c r="G382" s="200"/>
      <c r="H382" s="200"/>
      <c r="I382" s="200"/>
      <c r="J382" s="200"/>
      <c r="K382" s="200"/>
      <c r="L382" s="200"/>
      <c r="M382" s="200"/>
      <c r="N382" s="200"/>
      <c r="O382" s="200"/>
      <c r="P382" s="200"/>
      <c r="Q382" s="200"/>
      <c r="R382" s="200"/>
      <c r="S382" s="200"/>
      <c r="T382" s="200"/>
    </row>
    <row r="383" ht="13.5" customHeight="1">
      <c r="A383" s="200"/>
      <c r="B383" s="200"/>
      <c r="C383" s="200"/>
      <c r="D383" s="200"/>
      <c r="E383" s="200"/>
      <c r="F383" s="200"/>
      <c r="G383" s="200"/>
      <c r="H383" s="200"/>
      <c r="I383" s="200"/>
      <c r="J383" s="200"/>
      <c r="K383" s="200"/>
      <c r="L383" s="200"/>
      <c r="M383" s="200"/>
      <c r="N383" s="200"/>
      <c r="O383" s="200"/>
      <c r="P383" s="200"/>
      <c r="Q383" s="200"/>
      <c r="R383" s="200"/>
      <c r="S383" s="200"/>
      <c r="T383" s="200"/>
    </row>
    <row r="384" ht="13.5" customHeight="1">
      <c r="A384" s="200"/>
      <c r="B384" s="200"/>
      <c r="C384" s="200"/>
      <c r="D384" s="200"/>
      <c r="E384" s="200"/>
      <c r="F384" s="200"/>
      <c r="G384" s="200"/>
      <c r="H384" s="200"/>
      <c r="I384" s="200"/>
      <c r="J384" s="200"/>
      <c r="K384" s="200"/>
      <c r="L384" s="200"/>
      <c r="M384" s="200"/>
      <c r="N384" s="200"/>
      <c r="O384" s="200"/>
      <c r="P384" s="200"/>
      <c r="Q384" s="200"/>
      <c r="R384" s="200"/>
      <c r="S384" s="200"/>
      <c r="T384" s="200"/>
    </row>
    <row r="385" ht="13.5" customHeight="1">
      <c r="A385" s="200"/>
      <c r="B385" s="200"/>
      <c r="C385" s="200"/>
      <c r="D385" s="200"/>
      <c r="E385" s="200"/>
      <c r="F385" s="200"/>
      <c r="G385" s="200"/>
      <c r="H385" s="200"/>
      <c r="I385" s="200"/>
      <c r="J385" s="200"/>
      <c r="K385" s="200"/>
      <c r="L385" s="200"/>
      <c r="M385" s="200"/>
      <c r="N385" s="200"/>
      <c r="O385" s="200"/>
      <c r="P385" s="200"/>
      <c r="Q385" s="200"/>
      <c r="R385" s="200"/>
      <c r="S385" s="200"/>
      <c r="T385" s="200"/>
    </row>
    <row r="386" ht="13.5" customHeight="1">
      <c r="A386" s="200"/>
      <c r="B386" s="200"/>
      <c r="C386" s="200"/>
      <c r="D386" s="200"/>
      <c r="E386" s="200"/>
      <c r="F386" s="200"/>
      <c r="G386" s="200"/>
      <c r="H386" s="200"/>
      <c r="I386" s="200"/>
      <c r="J386" s="200"/>
      <c r="K386" s="200"/>
      <c r="L386" s="200"/>
      <c r="M386" s="200"/>
      <c r="N386" s="200"/>
      <c r="O386" s="200"/>
      <c r="P386" s="200"/>
      <c r="Q386" s="200"/>
      <c r="R386" s="200"/>
      <c r="S386" s="200"/>
      <c r="T386" s="200"/>
    </row>
    <row r="387" ht="13.5" customHeight="1">
      <c r="A387" s="200"/>
      <c r="B387" s="200"/>
      <c r="C387" s="200"/>
      <c r="D387" s="200"/>
      <c r="E387" s="200"/>
      <c r="F387" s="200"/>
      <c r="G387" s="200"/>
      <c r="H387" s="200"/>
      <c r="I387" s="200"/>
      <c r="J387" s="200"/>
      <c r="K387" s="200"/>
      <c r="L387" s="200"/>
      <c r="M387" s="200"/>
      <c r="N387" s="200"/>
      <c r="O387" s="200"/>
      <c r="P387" s="200"/>
      <c r="Q387" s="200"/>
      <c r="R387" s="200"/>
      <c r="S387" s="200"/>
      <c r="T387" s="200"/>
    </row>
    <row r="388" ht="13.5" customHeight="1">
      <c r="A388" s="200"/>
      <c r="B388" s="200"/>
      <c r="C388" s="200"/>
      <c r="D388" s="200"/>
      <c r="E388" s="200"/>
      <c r="F388" s="200"/>
      <c r="G388" s="200"/>
      <c r="H388" s="200"/>
      <c r="I388" s="200"/>
      <c r="J388" s="200"/>
      <c r="K388" s="200"/>
      <c r="L388" s="200"/>
      <c r="M388" s="200"/>
      <c r="N388" s="200"/>
      <c r="O388" s="200"/>
      <c r="P388" s="200"/>
      <c r="Q388" s="200"/>
      <c r="R388" s="200"/>
      <c r="S388" s="200"/>
      <c r="T388" s="200"/>
    </row>
    <row r="389" ht="13.5" customHeight="1">
      <c r="A389" s="200"/>
      <c r="B389" s="200"/>
      <c r="C389" s="200"/>
      <c r="D389" s="200"/>
      <c r="E389" s="200"/>
      <c r="F389" s="200"/>
      <c r="G389" s="200"/>
      <c r="H389" s="200"/>
      <c r="I389" s="200"/>
      <c r="J389" s="200"/>
      <c r="K389" s="200"/>
      <c r="L389" s="200"/>
      <c r="M389" s="200"/>
      <c r="N389" s="200"/>
      <c r="O389" s="200"/>
      <c r="P389" s="200"/>
      <c r="Q389" s="200"/>
      <c r="R389" s="200"/>
      <c r="S389" s="200"/>
      <c r="T389" s="200"/>
    </row>
    <row r="390" ht="13.5" customHeight="1">
      <c r="A390" s="200"/>
      <c r="B390" s="200"/>
      <c r="C390" s="200"/>
      <c r="D390" s="200"/>
      <c r="E390" s="200"/>
      <c r="F390" s="200"/>
      <c r="G390" s="200"/>
      <c r="H390" s="200"/>
      <c r="I390" s="200"/>
      <c r="J390" s="200"/>
      <c r="K390" s="200"/>
      <c r="L390" s="200"/>
      <c r="M390" s="200"/>
      <c r="N390" s="200"/>
      <c r="O390" s="200"/>
      <c r="P390" s="200"/>
      <c r="Q390" s="200"/>
      <c r="R390" s="200"/>
      <c r="S390" s="200"/>
      <c r="T390" s="200"/>
    </row>
    <row r="391" ht="13.5" customHeight="1">
      <c r="A391" s="200"/>
      <c r="B391" s="200"/>
      <c r="C391" s="200"/>
      <c r="D391" s="200"/>
      <c r="E391" s="200"/>
      <c r="F391" s="200"/>
      <c r="G391" s="200"/>
      <c r="H391" s="200"/>
      <c r="I391" s="200"/>
      <c r="J391" s="200"/>
      <c r="K391" s="200"/>
      <c r="L391" s="200"/>
      <c r="M391" s="200"/>
      <c r="N391" s="200"/>
      <c r="O391" s="200"/>
      <c r="P391" s="200"/>
      <c r="Q391" s="200"/>
      <c r="R391" s="200"/>
      <c r="S391" s="200"/>
      <c r="T391" s="200"/>
    </row>
    <row r="392" ht="13.5" customHeight="1">
      <c r="A392" s="200"/>
      <c r="B392" s="200"/>
      <c r="C392" s="200"/>
      <c r="D392" s="200"/>
      <c r="E392" s="200"/>
      <c r="F392" s="200"/>
      <c r="G392" s="200"/>
      <c r="H392" s="200"/>
      <c r="I392" s="200"/>
      <c r="J392" s="200"/>
      <c r="K392" s="200"/>
      <c r="L392" s="200"/>
      <c r="M392" s="200"/>
      <c r="N392" s="200"/>
      <c r="O392" s="200"/>
      <c r="P392" s="200"/>
      <c r="Q392" s="200"/>
      <c r="R392" s="200"/>
      <c r="S392" s="200"/>
      <c r="T392" s="200"/>
    </row>
    <row r="393" ht="13.5" customHeight="1">
      <c r="A393" s="200"/>
      <c r="B393" s="200"/>
      <c r="C393" s="200"/>
      <c r="D393" s="200"/>
      <c r="E393" s="200"/>
      <c r="F393" s="200"/>
      <c r="G393" s="200"/>
      <c r="H393" s="200"/>
      <c r="I393" s="200"/>
      <c r="J393" s="200"/>
      <c r="K393" s="200"/>
      <c r="L393" s="200"/>
      <c r="M393" s="200"/>
      <c r="N393" s="200"/>
      <c r="O393" s="200"/>
      <c r="P393" s="200"/>
      <c r="Q393" s="200"/>
      <c r="R393" s="200"/>
      <c r="S393" s="200"/>
      <c r="T393" s="200"/>
    </row>
    <row r="394" ht="13.5" customHeight="1">
      <c r="A394" s="200"/>
      <c r="B394" s="200"/>
      <c r="C394" s="200"/>
      <c r="D394" s="200"/>
      <c r="E394" s="200"/>
      <c r="F394" s="200"/>
      <c r="G394" s="200"/>
      <c r="H394" s="200"/>
      <c r="I394" s="200"/>
      <c r="J394" s="200"/>
      <c r="K394" s="200"/>
      <c r="L394" s="200"/>
      <c r="M394" s="200"/>
      <c r="N394" s="200"/>
      <c r="O394" s="200"/>
      <c r="P394" s="200"/>
      <c r="Q394" s="200"/>
      <c r="R394" s="200"/>
      <c r="S394" s="200"/>
      <c r="T394" s="200"/>
    </row>
    <row r="395" ht="13.5" customHeight="1">
      <c r="A395" s="200"/>
      <c r="B395" s="200"/>
      <c r="C395" s="200"/>
      <c r="D395" s="200"/>
      <c r="E395" s="200"/>
      <c r="F395" s="200"/>
      <c r="G395" s="200"/>
      <c r="H395" s="200"/>
      <c r="I395" s="200"/>
      <c r="J395" s="200"/>
      <c r="K395" s="200"/>
      <c r="L395" s="200"/>
      <c r="M395" s="200"/>
      <c r="N395" s="200"/>
      <c r="O395" s="200"/>
      <c r="P395" s="200"/>
      <c r="Q395" s="200"/>
      <c r="R395" s="200"/>
      <c r="S395" s="200"/>
      <c r="T395" s="200"/>
    </row>
    <row r="396" ht="13.5" customHeight="1">
      <c r="A396" s="200"/>
      <c r="B396" s="200"/>
      <c r="C396" s="200"/>
      <c r="D396" s="200"/>
      <c r="E396" s="200"/>
      <c r="F396" s="200"/>
      <c r="G396" s="200"/>
      <c r="H396" s="200"/>
      <c r="I396" s="200"/>
      <c r="J396" s="200"/>
      <c r="K396" s="200"/>
      <c r="L396" s="200"/>
      <c r="M396" s="200"/>
      <c r="N396" s="200"/>
      <c r="O396" s="200"/>
      <c r="P396" s="200"/>
      <c r="Q396" s="200"/>
      <c r="R396" s="200"/>
      <c r="S396" s="200"/>
      <c r="T396" s="200"/>
    </row>
    <row r="397" ht="13.5" customHeight="1">
      <c r="A397" s="200"/>
      <c r="B397" s="200"/>
      <c r="C397" s="200"/>
      <c r="D397" s="200"/>
      <c r="E397" s="200"/>
      <c r="F397" s="200"/>
      <c r="G397" s="200"/>
      <c r="H397" s="200"/>
      <c r="I397" s="200"/>
      <c r="J397" s="200"/>
      <c r="K397" s="200"/>
      <c r="L397" s="200"/>
      <c r="M397" s="200"/>
      <c r="N397" s="200"/>
      <c r="O397" s="200"/>
      <c r="P397" s="200"/>
      <c r="Q397" s="200"/>
      <c r="R397" s="200"/>
      <c r="S397" s="200"/>
      <c r="T397" s="200"/>
    </row>
    <row r="398" ht="13.5" customHeight="1">
      <c r="A398" s="200"/>
      <c r="B398" s="200"/>
      <c r="C398" s="200"/>
      <c r="D398" s="200"/>
      <c r="E398" s="200"/>
      <c r="F398" s="200"/>
      <c r="G398" s="200"/>
      <c r="H398" s="200"/>
      <c r="I398" s="200"/>
      <c r="J398" s="200"/>
      <c r="K398" s="200"/>
      <c r="L398" s="200"/>
      <c r="M398" s="200"/>
      <c r="N398" s="200"/>
      <c r="O398" s="200"/>
      <c r="P398" s="200"/>
      <c r="Q398" s="200"/>
      <c r="R398" s="200"/>
      <c r="S398" s="200"/>
      <c r="T398" s="200"/>
    </row>
    <row r="399" ht="13.5" customHeight="1">
      <c r="A399" s="200"/>
      <c r="B399" s="200"/>
      <c r="C399" s="200"/>
      <c r="D399" s="200"/>
      <c r="E399" s="200"/>
      <c r="F399" s="200"/>
      <c r="G399" s="200"/>
      <c r="H399" s="200"/>
      <c r="I399" s="200"/>
      <c r="J399" s="200"/>
      <c r="K399" s="200"/>
      <c r="L399" s="200"/>
      <c r="M399" s="200"/>
      <c r="N399" s="200"/>
      <c r="O399" s="200"/>
      <c r="P399" s="200"/>
      <c r="Q399" s="200"/>
      <c r="R399" s="200"/>
      <c r="S399" s="200"/>
      <c r="T399" s="200"/>
    </row>
    <row r="400" ht="13.5" customHeight="1">
      <c r="A400" s="200"/>
      <c r="B400" s="200"/>
      <c r="C400" s="200"/>
      <c r="D400" s="200"/>
      <c r="E400" s="200"/>
      <c r="F400" s="200"/>
      <c r="G400" s="200"/>
      <c r="H400" s="200"/>
      <c r="I400" s="200"/>
      <c r="J400" s="200"/>
      <c r="K400" s="200"/>
      <c r="L400" s="200"/>
      <c r="M400" s="200"/>
      <c r="N400" s="200"/>
      <c r="O400" s="200"/>
      <c r="P400" s="200"/>
      <c r="Q400" s="200"/>
      <c r="R400" s="200"/>
      <c r="S400" s="200"/>
      <c r="T400" s="200"/>
    </row>
    <row r="401" ht="13.5" customHeight="1">
      <c r="A401" s="200"/>
      <c r="B401" s="200"/>
      <c r="C401" s="200"/>
      <c r="D401" s="200"/>
      <c r="E401" s="200"/>
      <c r="F401" s="200"/>
      <c r="G401" s="200"/>
      <c r="H401" s="200"/>
      <c r="I401" s="200"/>
      <c r="J401" s="200"/>
      <c r="K401" s="200"/>
      <c r="L401" s="200"/>
      <c r="M401" s="200"/>
      <c r="N401" s="200"/>
      <c r="O401" s="200"/>
      <c r="P401" s="200"/>
      <c r="Q401" s="200"/>
      <c r="R401" s="200"/>
      <c r="S401" s="200"/>
      <c r="T401" s="200"/>
    </row>
    <row r="402" ht="13.5" customHeight="1">
      <c r="A402" s="200"/>
      <c r="B402" s="200"/>
      <c r="C402" s="200"/>
      <c r="D402" s="200"/>
      <c r="E402" s="200"/>
      <c r="F402" s="200"/>
      <c r="G402" s="200"/>
      <c r="H402" s="200"/>
      <c r="I402" s="200"/>
      <c r="J402" s="200"/>
      <c r="K402" s="200"/>
      <c r="L402" s="200"/>
      <c r="M402" s="200"/>
      <c r="N402" s="200"/>
      <c r="O402" s="200"/>
      <c r="P402" s="200"/>
      <c r="Q402" s="200"/>
      <c r="R402" s="200"/>
      <c r="S402" s="200"/>
      <c r="T402" s="200"/>
    </row>
    <row r="403" ht="13.5" customHeight="1">
      <c r="A403" s="200"/>
      <c r="B403" s="200"/>
      <c r="C403" s="200"/>
      <c r="D403" s="200"/>
      <c r="E403" s="200"/>
      <c r="F403" s="200"/>
      <c r="G403" s="200"/>
      <c r="H403" s="200"/>
      <c r="I403" s="200"/>
      <c r="J403" s="200"/>
      <c r="K403" s="200"/>
      <c r="L403" s="200"/>
      <c r="M403" s="200"/>
      <c r="N403" s="200"/>
      <c r="O403" s="200"/>
      <c r="P403" s="200"/>
      <c r="Q403" s="200"/>
      <c r="R403" s="200"/>
      <c r="S403" s="200"/>
      <c r="T403" s="200"/>
    </row>
    <row r="404" ht="13.5" customHeight="1">
      <c r="A404" s="200"/>
      <c r="B404" s="200"/>
      <c r="C404" s="200"/>
      <c r="D404" s="200"/>
      <c r="E404" s="200"/>
      <c r="F404" s="200"/>
      <c r="G404" s="200"/>
      <c r="H404" s="200"/>
      <c r="I404" s="200"/>
      <c r="J404" s="200"/>
      <c r="K404" s="200"/>
      <c r="L404" s="200"/>
      <c r="M404" s="200"/>
      <c r="N404" s="200"/>
      <c r="O404" s="200"/>
      <c r="P404" s="200"/>
      <c r="Q404" s="200"/>
      <c r="R404" s="200"/>
      <c r="S404" s="200"/>
      <c r="T404" s="200"/>
    </row>
    <row r="405" ht="13.5" customHeight="1">
      <c r="A405" s="200"/>
      <c r="B405" s="200"/>
      <c r="C405" s="200"/>
      <c r="D405" s="200"/>
      <c r="E405" s="200"/>
      <c r="F405" s="200"/>
      <c r="G405" s="200"/>
      <c r="H405" s="200"/>
      <c r="I405" s="200"/>
      <c r="J405" s="200"/>
      <c r="K405" s="200"/>
      <c r="L405" s="200"/>
      <c r="M405" s="200"/>
      <c r="N405" s="200"/>
      <c r="O405" s="200"/>
      <c r="P405" s="200"/>
      <c r="Q405" s="200"/>
      <c r="R405" s="200"/>
      <c r="S405" s="200"/>
      <c r="T405" s="200"/>
    </row>
    <row r="406" ht="13.5" customHeight="1">
      <c r="A406" s="200"/>
      <c r="B406" s="200"/>
      <c r="C406" s="200"/>
      <c r="D406" s="200"/>
      <c r="E406" s="200"/>
      <c r="F406" s="200"/>
      <c r="G406" s="200"/>
      <c r="H406" s="200"/>
      <c r="I406" s="200"/>
      <c r="J406" s="200"/>
      <c r="K406" s="200"/>
      <c r="L406" s="200"/>
      <c r="M406" s="200"/>
      <c r="N406" s="200"/>
      <c r="O406" s="200"/>
      <c r="P406" s="200"/>
      <c r="Q406" s="200"/>
      <c r="R406" s="200"/>
      <c r="S406" s="200"/>
      <c r="T406" s="200"/>
    </row>
    <row r="407" ht="13.5" customHeight="1">
      <c r="A407" s="200"/>
      <c r="B407" s="200"/>
      <c r="C407" s="200"/>
      <c r="D407" s="200"/>
      <c r="E407" s="200"/>
      <c r="F407" s="200"/>
      <c r="G407" s="200"/>
      <c r="H407" s="200"/>
      <c r="I407" s="200"/>
      <c r="J407" s="200"/>
      <c r="K407" s="200"/>
      <c r="L407" s="200"/>
      <c r="M407" s="200"/>
      <c r="N407" s="200"/>
      <c r="O407" s="200"/>
      <c r="P407" s="200"/>
      <c r="Q407" s="200"/>
      <c r="R407" s="200"/>
      <c r="S407" s="200"/>
      <c r="T407" s="200"/>
    </row>
    <row r="408" ht="13.5" customHeight="1">
      <c r="A408" s="200"/>
      <c r="B408" s="200"/>
      <c r="C408" s="200"/>
      <c r="D408" s="200"/>
      <c r="E408" s="200"/>
      <c r="F408" s="200"/>
      <c r="G408" s="200"/>
      <c r="H408" s="200"/>
      <c r="I408" s="200"/>
      <c r="J408" s="200"/>
      <c r="K408" s="200"/>
      <c r="L408" s="200"/>
      <c r="M408" s="200"/>
      <c r="N408" s="200"/>
      <c r="O408" s="200"/>
      <c r="P408" s="200"/>
      <c r="Q408" s="200"/>
      <c r="R408" s="200"/>
      <c r="S408" s="200"/>
      <c r="T408" s="200"/>
    </row>
    <row r="409" ht="13.5" customHeight="1">
      <c r="A409" s="200"/>
      <c r="B409" s="200"/>
      <c r="C409" s="200"/>
      <c r="D409" s="200"/>
      <c r="E409" s="200"/>
      <c r="F409" s="200"/>
      <c r="G409" s="200"/>
      <c r="H409" s="200"/>
      <c r="I409" s="200"/>
      <c r="J409" s="200"/>
      <c r="K409" s="200"/>
      <c r="L409" s="200"/>
      <c r="M409" s="200"/>
      <c r="N409" s="200"/>
      <c r="O409" s="200"/>
      <c r="P409" s="200"/>
      <c r="Q409" s="200"/>
      <c r="R409" s="200"/>
      <c r="S409" s="200"/>
      <c r="T409" s="200"/>
    </row>
    <row r="410" ht="13.5" customHeight="1">
      <c r="A410" s="200"/>
      <c r="B410" s="200"/>
      <c r="C410" s="200"/>
      <c r="D410" s="200"/>
      <c r="E410" s="200"/>
      <c r="F410" s="200"/>
      <c r="G410" s="200"/>
      <c r="H410" s="200"/>
      <c r="I410" s="200"/>
      <c r="J410" s="200"/>
      <c r="K410" s="200"/>
      <c r="L410" s="200"/>
      <c r="M410" s="200"/>
      <c r="N410" s="200"/>
      <c r="O410" s="200"/>
      <c r="P410" s="200"/>
      <c r="Q410" s="200"/>
      <c r="R410" s="200"/>
      <c r="S410" s="200"/>
      <c r="T410" s="200"/>
    </row>
    <row r="411" ht="13.5" customHeight="1">
      <c r="A411" s="200"/>
      <c r="B411" s="200"/>
      <c r="C411" s="200"/>
      <c r="D411" s="200"/>
      <c r="E411" s="200"/>
      <c r="F411" s="200"/>
      <c r="G411" s="200"/>
      <c r="H411" s="200"/>
      <c r="I411" s="200"/>
      <c r="J411" s="200"/>
      <c r="K411" s="200"/>
      <c r="L411" s="200"/>
      <c r="M411" s="200"/>
      <c r="N411" s="200"/>
      <c r="O411" s="200"/>
      <c r="P411" s="200"/>
      <c r="Q411" s="200"/>
      <c r="R411" s="200"/>
      <c r="S411" s="200"/>
      <c r="T411" s="200"/>
    </row>
    <row r="412" ht="13.5" customHeight="1">
      <c r="A412" s="200"/>
      <c r="B412" s="200"/>
      <c r="C412" s="200"/>
      <c r="D412" s="200"/>
      <c r="E412" s="200"/>
      <c r="F412" s="200"/>
      <c r="G412" s="200"/>
      <c r="H412" s="200"/>
      <c r="I412" s="200"/>
      <c r="J412" s="200"/>
      <c r="K412" s="200"/>
      <c r="L412" s="200"/>
      <c r="M412" s="200"/>
      <c r="N412" s="200"/>
      <c r="O412" s="200"/>
      <c r="P412" s="200"/>
      <c r="Q412" s="200"/>
      <c r="R412" s="200"/>
      <c r="S412" s="200"/>
      <c r="T412" s="200"/>
    </row>
    <row r="413" ht="13.5" customHeight="1">
      <c r="A413" s="200"/>
      <c r="B413" s="200"/>
      <c r="C413" s="200"/>
      <c r="D413" s="200"/>
      <c r="E413" s="200"/>
      <c r="F413" s="200"/>
      <c r="G413" s="200"/>
      <c r="H413" s="200"/>
      <c r="I413" s="200"/>
      <c r="J413" s="200"/>
      <c r="K413" s="200"/>
      <c r="L413" s="200"/>
      <c r="M413" s="200"/>
      <c r="N413" s="200"/>
      <c r="O413" s="200"/>
      <c r="P413" s="200"/>
      <c r="Q413" s="200"/>
      <c r="R413" s="200"/>
      <c r="S413" s="200"/>
      <c r="T413" s="200"/>
    </row>
    <row r="414" ht="13.5" customHeight="1">
      <c r="A414" s="200"/>
      <c r="B414" s="200"/>
      <c r="C414" s="200"/>
      <c r="D414" s="200"/>
      <c r="E414" s="200"/>
      <c r="F414" s="200"/>
      <c r="G414" s="200"/>
      <c r="H414" s="200"/>
      <c r="I414" s="200"/>
      <c r="J414" s="200"/>
      <c r="K414" s="200"/>
      <c r="L414" s="200"/>
      <c r="M414" s="200"/>
      <c r="N414" s="200"/>
      <c r="O414" s="200"/>
      <c r="P414" s="200"/>
      <c r="Q414" s="200"/>
      <c r="R414" s="200"/>
      <c r="S414" s="200"/>
      <c r="T414" s="200"/>
    </row>
    <row r="415" ht="13.5" customHeight="1">
      <c r="A415" s="200"/>
      <c r="B415" s="200"/>
      <c r="C415" s="200"/>
      <c r="D415" s="200"/>
      <c r="E415" s="200"/>
      <c r="F415" s="200"/>
      <c r="G415" s="200"/>
      <c r="H415" s="200"/>
      <c r="I415" s="200"/>
      <c r="J415" s="200"/>
      <c r="K415" s="200"/>
      <c r="L415" s="200"/>
      <c r="M415" s="200"/>
      <c r="N415" s="200"/>
      <c r="O415" s="200"/>
      <c r="P415" s="200"/>
      <c r="Q415" s="200"/>
      <c r="R415" s="200"/>
      <c r="S415" s="200"/>
      <c r="T415" s="200"/>
    </row>
    <row r="416" ht="13.5" customHeight="1">
      <c r="A416" s="200"/>
      <c r="B416" s="200"/>
      <c r="C416" s="200"/>
      <c r="D416" s="200"/>
      <c r="E416" s="200"/>
      <c r="F416" s="200"/>
      <c r="G416" s="200"/>
      <c r="H416" s="200"/>
      <c r="I416" s="200"/>
      <c r="J416" s="200"/>
      <c r="K416" s="200"/>
      <c r="L416" s="200"/>
      <c r="M416" s="200"/>
      <c r="N416" s="200"/>
      <c r="O416" s="200"/>
      <c r="P416" s="200"/>
      <c r="Q416" s="200"/>
      <c r="R416" s="200"/>
      <c r="S416" s="200"/>
      <c r="T416" s="200"/>
    </row>
    <row r="417" ht="13.5" customHeight="1">
      <c r="A417" s="200"/>
      <c r="B417" s="200"/>
      <c r="C417" s="200"/>
      <c r="D417" s="200"/>
      <c r="E417" s="200"/>
      <c r="F417" s="200"/>
      <c r="G417" s="200"/>
      <c r="H417" s="200"/>
      <c r="I417" s="200"/>
      <c r="J417" s="200"/>
      <c r="K417" s="200"/>
      <c r="L417" s="200"/>
      <c r="M417" s="200"/>
      <c r="N417" s="200"/>
      <c r="O417" s="200"/>
      <c r="P417" s="200"/>
      <c r="Q417" s="200"/>
      <c r="R417" s="200"/>
      <c r="S417" s="200"/>
      <c r="T417" s="200"/>
    </row>
    <row r="418" ht="13.5" customHeight="1">
      <c r="A418" s="200"/>
      <c r="B418" s="200"/>
      <c r="C418" s="200"/>
      <c r="D418" s="200"/>
      <c r="E418" s="200"/>
      <c r="F418" s="200"/>
      <c r="G418" s="200"/>
      <c r="H418" s="200"/>
      <c r="I418" s="200"/>
      <c r="J418" s="200"/>
      <c r="K418" s="200"/>
      <c r="L418" s="200"/>
      <c r="M418" s="200"/>
      <c r="N418" s="200"/>
      <c r="O418" s="200"/>
      <c r="P418" s="200"/>
      <c r="Q418" s="200"/>
      <c r="R418" s="200"/>
      <c r="S418" s="200"/>
      <c r="T418" s="200"/>
    </row>
    <row r="419" ht="13.5" customHeight="1">
      <c r="A419" s="200"/>
      <c r="B419" s="200"/>
      <c r="C419" s="200"/>
      <c r="D419" s="200"/>
      <c r="E419" s="200"/>
      <c r="F419" s="200"/>
      <c r="G419" s="200"/>
      <c r="H419" s="200"/>
      <c r="I419" s="200"/>
      <c r="J419" s="200"/>
      <c r="K419" s="200"/>
      <c r="L419" s="200"/>
      <c r="M419" s="200"/>
      <c r="N419" s="200"/>
      <c r="O419" s="200"/>
      <c r="P419" s="200"/>
      <c r="Q419" s="200"/>
      <c r="R419" s="200"/>
      <c r="S419" s="200"/>
      <c r="T419" s="200"/>
    </row>
    <row r="420" ht="13.5" customHeight="1">
      <c r="A420" s="200"/>
      <c r="B420" s="200"/>
      <c r="C420" s="200"/>
      <c r="D420" s="200"/>
      <c r="E420" s="200"/>
      <c r="F420" s="200"/>
      <c r="G420" s="200"/>
      <c r="H420" s="200"/>
      <c r="I420" s="200"/>
      <c r="J420" s="200"/>
      <c r="K420" s="200"/>
      <c r="L420" s="200"/>
      <c r="M420" s="200"/>
      <c r="N420" s="200"/>
      <c r="O420" s="200"/>
      <c r="P420" s="200"/>
      <c r="Q420" s="200"/>
      <c r="R420" s="200"/>
      <c r="S420" s="200"/>
      <c r="T420" s="200"/>
    </row>
    <row r="421" ht="13.5" customHeight="1">
      <c r="A421" s="200"/>
      <c r="B421" s="200"/>
      <c r="C421" s="200"/>
      <c r="D421" s="200"/>
      <c r="E421" s="200"/>
      <c r="F421" s="200"/>
      <c r="G421" s="200"/>
      <c r="H421" s="200"/>
      <c r="I421" s="200"/>
      <c r="J421" s="200"/>
      <c r="K421" s="200"/>
      <c r="L421" s="200"/>
      <c r="M421" s="200"/>
      <c r="N421" s="200"/>
      <c r="O421" s="200"/>
      <c r="P421" s="200"/>
      <c r="Q421" s="200"/>
      <c r="R421" s="200"/>
      <c r="S421" s="200"/>
      <c r="T421" s="200"/>
    </row>
    <row r="422" ht="13.5" customHeight="1">
      <c r="A422" s="200"/>
      <c r="B422" s="200"/>
      <c r="C422" s="200"/>
      <c r="D422" s="200"/>
      <c r="E422" s="200"/>
      <c r="F422" s="200"/>
      <c r="G422" s="200"/>
      <c r="H422" s="200"/>
      <c r="I422" s="200"/>
      <c r="J422" s="200"/>
      <c r="K422" s="200"/>
      <c r="L422" s="200"/>
      <c r="M422" s="200"/>
      <c r="N422" s="200"/>
      <c r="O422" s="200"/>
      <c r="P422" s="200"/>
      <c r="Q422" s="200"/>
      <c r="R422" s="200"/>
      <c r="S422" s="200"/>
      <c r="T422" s="200"/>
    </row>
    <row r="423" ht="13.5" customHeight="1">
      <c r="A423" s="200"/>
      <c r="B423" s="200"/>
      <c r="C423" s="200"/>
      <c r="D423" s="200"/>
      <c r="E423" s="200"/>
      <c r="F423" s="200"/>
      <c r="G423" s="200"/>
      <c r="H423" s="200"/>
      <c r="I423" s="200"/>
      <c r="J423" s="200"/>
      <c r="K423" s="200"/>
      <c r="L423" s="200"/>
      <c r="M423" s="200"/>
      <c r="N423" s="200"/>
      <c r="O423" s="200"/>
      <c r="P423" s="200"/>
      <c r="Q423" s="200"/>
      <c r="R423" s="200"/>
      <c r="S423" s="200"/>
      <c r="T423" s="200"/>
    </row>
    <row r="424" ht="13.5" customHeight="1">
      <c r="A424" s="200"/>
      <c r="B424" s="200"/>
      <c r="C424" s="200"/>
      <c r="D424" s="200"/>
      <c r="E424" s="200"/>
      <c r="F424" s="200"/>
      <c r="G424" s="200"/>
      <c r="H424" s="200"/>
      <c r="I424" s="200"/>
      <c r="J424" s="200"/>
      <c r="K424" s="200"/>
      <c r="L424" s="200"/>
      <c r="M424" s="200"/>
      <c r="N424" s="200"/>
      <c r="O424" s="200"/>
      <c r="P424" s="200"/>
      <c r="Q424" s="200"/>
      <c r="R424" s="200"/>
      <c r="S424" s="200"/>
      <c r="T424" s="200"/>
    </row>
    <row r="425" ht="13.5" customHeight="1">
      <c r="A425" s="200"/>
      <c r="B425" s="200"/>
      <c r="C425" s="200"/>
      <c r="D425" s="200"/>
      <c r="E425" s="200"/>
      <c r="F425" s="200"/>
      <c r="G425" s="200"/>
      <c r="H425" s="200"/>
      <c r="I425" s="200"/>
      <c r="J425" s="200"/>
      <c r="K425" s="200"/>
      <c r="L425" s="200"/>
      <c r="M425" s="200"/>
      <c r="N425" s="200"/>
      <c r="O425" s="200"/>
      <c r="P425" s="200"/>
      <c r="Q425" s="200"/>
      <c r="R425" s="200"/>
      <c r="S425" s="200"/>
      <c r="T425" s="200"/>
    </row>
    <row r="426" ht="13.5" customHeight="1">
      <c r="A426" s="200"/>
      <c r="B426" s="200"/>
      <c r="C426" s="200"/>
      <c r="D426" s="200"/>
      <c r="E426" s="200"/>
      <c r="F426" s="200"/>
      <c r="G426" s="200"/>
      <c r="H426" s="200"/>
      <c r="I426" s="200"/>
      <c r="J426" s="200"/>
      <c r="K426" s="200"/>
      <c r="L426" s="200"/>
      <c r="M426" s="200"/>
      <c r="N426" s="200"/>
      <c r="O426" s="200"/>
      <c r="P426" s="200"/>
      <c r="Q426" s="200"/>
      <c r="R426" s="200"/>
      <c r="S426" s="200"/>
      <c r="T426" s="200"/>
    </row>
    <row r="427" ht="13.5" customHeight="1">
      <c r="A427" s="200"/>
      <c r="B427" s="200"/>
      <c r="C427" s="200"/>
      <c r="D427" s="200"/>
      <c r="E427" s="200"/>
      <c r="F427" s="200"/>
      <c r="G427" s="200"/>
      <c r="H427" s="200"/>
      <c r="I427" s="200"/>
      <c r="J427" s="200"/>
      <c r="K427" s="200"/>
      <c r="L427" s="200"/>
      <c r="M427" s="200"/>
      <c r="N427" s="200"/>
      <c r="O427" s="200"/>
      <c r="P427" s="200"/>
      <c r="Q427" s="200"/>
      <c r="R427" s="200"/>
      <c r="S427" s="200"/>
      <c r="T427" s="200"/>
    </row>
    <row r="428" ht="13.5" customHeight="1">
      <c r="A428" s="200"/>
      <c r="B428" s="200"/>
      <c r="C428" s="200"/>
      <c r="D428" s="200"/>
      <c r="E428" s="200"/>
      <c r="F428" s="200"/>
      <c r="G428" s="200"/>
      <c r="H428" s="200"/>
      <c r="I428" s="200"/>
      <c r="J428" s="200"/>
      <c r="K428" s="200"/>
      <c r="L428" s="200"/>
      <c r="M428" s="200"/>
      <c r="N428" s="200"/>
      <c r="O428" s="200"/>
      <c r="P428" s="200"/>
      <c r="Q428" s="200"/>
      <c r="R428" s="200"/>
      <c r="S428" s="200"/>
      <c r="T428" s="200"/>
    </row>
    <row r="429" ht="13.5" customHeight="1">
      <c r="A429" s="200"/>
      <c r="B429" s="200"/>
      <c r="C429" s="200"/>
      <c r="D429" s="200"/>
      <c r="E429" s="200"/>
      <c r="F429" s="200"/>
      <c r="G429" s="200"/>
      <c r="H429" s="200"/>
      <c r="I429" s="200"/>
      <c r="J429" s="200"/>
      <c r="K429" s="200"/>
      <c r="L429" s="200"/>
      <c r="M429" s="200"/>
      <c r="N429" s="200"/>
      <c r="O429" s="200"/>
      <c r="P429" s="200"/>
      <c r="Q429" s="200"/>
      <c r="R429" s="200"/>
      <c r="S429" s="200"/>
      <c r="T429" s="200"/>
    </row>
    <row r="430" ht="13.5" customHeight="1">
      <c r="A430" s="200"/>
      <c r="B430" s="200"/>
      <c r="C430" s="200"/>
      <c r="D430" s="200"/>
      <c r="E430" s="200"/>
      <c r="F430" s="200"/>
      <c r="G430" s="200"/>
      <c r="H430" s="200"/>
      <c r="I430" s="200"/>
      <c r="J430" s="200"/>
      <c r="K430" s="200"/>
      <c r="L430" s="200"/>
      <c r="M430" s="200"/>
      <c r="N430" s="200"/>
      <c r="O430" s="200"/>
      <c r="P430" s="200"/>
      <c r="Q430" s="200"/>
      <c r="R430" s="200"/>
      <c r="S430" s="200"/>
      <c r="T430" s="200"/>
    </row>
    <row r="431" ht="13.5" customHeight="1">
      <c r="A431" s="200"/>
      <c r="B431" s="200"/>
      <c r="C431" s="200"/>
      <c r="D431" s="200"/>
      <c r="E431" s="200"/>
      <c r="F431" s="200"/>
      <c r="G431" s="200"/>
      <c r="H431" s="200"/>
      <c r="I431" s="200"/>
      <c r="J431" s="200"/>
      <c r="K431" s="200"/>
      <c r="L431" s="200"/>
      <c r="M431" s="200"/>
      <c r="N431" s="200"/>
      <c r="O431" s="200"/>
      <c r="P431" s="200"/>
      <c r="Q431" s="200"/>
      <c r="R431" s="200"/>
      <c r="S431" s="200"/>
      <c r="T431" s="200"/>
    </row>
    <row r="432" ht="13.5" customHeight="1">
      <c r="A432" s="200"/>
      <c r="B432" s="200"/>
      <c r="C432" s="200"/>
      <c r="D432" s="200"/>
      <c r="E432" s="200"/>
      <c r="F432" s="200"/>
      <c r="G432" s="200"/>
      <c r="H432" s="200"/>
      <c r="I432" s="200"/>
      <c r="J432" s="200"/>
      <c r="K432" s="200"/>
      <c r="L432" s="200"/>
      <c r="M432" s="200"/>
      <c r="N432" s="200"/>
      <c r="O432" s="200"/>
      <c r="P432" s="200"/>
      <c r="Q432" s="200"/>
      <c r="R432" s="200"/>
      <c r="S432" s="200"/>
      <c r="T432" s="200"/>
    </row>
    <row r="433" ht="13.5" customHeight="1">
      <c r="A433" s="200"/>
      <c r="B433" s="200"/>
      <c r="C433" s="200"/>
      <c r="D433" s="200"/>
      <c r="E433" s="200"/>
      <c r="F433" s="200"/>
      <c r="G433" s="200"/>
      <c r="H433" s="200"/>
      <c r="I433" s="200"/>
      <c r="J433" s="200"/>
      <c r="K433" s="200"/>
      <c r="L433" s="200"/>
      <c r="M433" s="200"/>
      <c r="N433" s="200"/>
      <c r="O433" s="200"/>
      <c r="P433" s="200"/>
      <c r="Q433" s="200"/>
      <c r="R433" s="200"/>
      <c r="S433" s="200"/>
      <c r="T433" s="200"/>
    </row>
    <row r="434" ht="13.5" customHeight="1">
      <c r="A434" s="200"/>
      <c r="B434" s="200"/>
      <c r="C434" s="200"/>
      <c r="D434" s="200"/>
      <c r="E434" s="200"/>
      <c r="F434" s="200"/>
      <c r="G434" s="200"/>
      <c r="H434" s="200"/>
      <c r="I434" s="200"/>
      <c r="J434" s="200"/>
      <c r="K434" s="200"/>
      <c r="L434" s="200"/>
      <c r="M434" s="200"/>
      <c r="N434" s="200"/>
      <c r="O434" s="200"/>
      <c r="P434" s="200"/>
      <c r="Q434" s="200"/>
      <c r="R434" s="200"/>
      <c r="S434" s="200"/>
      <c r="T434" s="200"/>
    </row>
    <row r="435" ht="13.5" customHeight="1">
      <c r="A435" s="200"/>
      <c r="B435" s="200"/>
      <c r="C435" s="200"/>
      <c r="D435" s="200"/>
      <c r="E435" s="200"/>
      <c r="F435" s="200"/>
      <c r="G435" s="200"/>
      <c r="H435" s="200"/>
      <c r="I435" s="200"/>
      <c r="J435" s="200"/>
      <c r="K435" s="200"/>
      <c r="L435" s="200"/>
      <c r="M435" s="200"/>
      <c r="N435" s="200"/>
      <c r="O435" s="200"/>
      <c r="P435" s="200"/>
      <c r="Q435" s="200"/>
      <c r="R435" s="200"/>
      <c r="S435" s="200"/>
      <c r="T435" s="200"/>
    </row>
    <row r="436" ht="13.5" customHeight="1">
      <c r="A436" s="200"/>
      <c r="B436" s="200"/>
      <c r="C436" s="200"/>
      <c r="D436" s="200"/>
      <c r="E436" s="200"/>
      <c r="F436" s="200"/>
      <c r="G436" s="200"/>
      <c r="H436" s="200"/>
      <c r="I436" s="200"/>
      <c r="J436" s="200"/>
      <c r="K436" s="200"/>
      <c r="L436" s="200"/>
      <c r="M436" s="200"/>
      <c r="N436" s="200"/>
      <c r="O436" s="200"/>
      <c r="P436" s="200"/>
      <c r="Q436" s="200"/>
      <c r="R436" s="200"/>
      <c r="S436" s="200"/>
      <c r="T436" s="200"/>
    </row>
    <row r="437" ht="13.5" customHeight="1">
      <c r="A437" s="200"/>
      <c r="B437" s="200"/>
      <c r="C437" s="200"/>
      <c r="D437" s="200"/>
      <c r="E437" s="200"/>
      <c r="F437" s="200"/>
      <c r="G437" s="200"/>
      <c r="H437" s="200"/>
      <c r="I437" s="200"/>
      <c r="J437" s="200"/>
      <c r="K437" s="200"/>
      <c r="L437" s="200"/>
      <c r="M437" s="200"/>
      <c r="N437" s="200"/>
      <c r="O437" s="200"/>
      <c r="P437" s="200"/>
      <c r="Q437" s="200"/>
      <c r="R437" s="200"/>
      <c r="S437" s="200"/>
      <c r="T437" s="200"/>
    </row>
    <row r="438" ht="13.5" customHeight="1">
      <c r="A438" s="200"/>
      <c r="B438" s="200"/>
      <c r="C438" s="200"/>
      <c r="D438" s="200"/>
      <c r="E438" s="200"/>
      <c r="F438" s="200"/>
      <c r="G438" s="200"/>
      <c r="H438" s="200"/>
      <c r="I438" s="200"/>
      <c r="J438" s="200"/>
      <c r="K438" s="200"/>
      <c r="L438" s="200"/>
      <c r="M438" s="200"/>
      <c r="N438" s="200"/>
      <c r="O438" s="200"/>
      <c r="P438" s="200"/>
      <c r="Q438" s="200"/>
      <c r="R438" s="200"/>
      <c r="S438" s="200"/>
      <c r="T438" s="200"/>
    </row>
    <row r="439" ht="13.5" customHeight="1">
      <c r="A439" s="200"/>
      <c r="B439" s="200"/>
      <c r="C439" s="200"/>
      <c r="D439" s="200"/>
      <c r="E439" s="200"/>
      <c r="F439" s="200"/>
      <c r="G439" s="200"/>
      <c r="H439" s="200"/>
      <c r="I439" s="200"/>
      <c r="J439" s="200"/>
      <c r="K439" s="200"/>
      <c r="L439" s="200"/>
      <c r="M439" s="200"/>
      <c r="N439" s="200"/>
      <c r="O439" s="200"/>
      <c r="P439" s="200"/>
      <c r="Q439" s="200"/>
      <c r="R439" s="200"/>
      <c r="S439" s="200"/>
      <c r="T439" s="200"/>
    </row>
    <row r="440" ht="13.5" customHeight="1">
      <c r="A440" s="200"/>
      <c r="B440" s="200"/>
      <c r="C440" s="200"/>
      <c r="D440" s="200"/>
      <c r="E440" s="200"/>
      <c r="F440" s="200"/>
      <c r="G440" s="200"/>
      <c r="H440" s="200"/>
      <c r="I440" s="200"/>
      <c r="J440" s="200"/>
      <c r="K440" s="200"/>
      <c r="L440" s="200"/>
      <c r="M440" s="200"/>
      <c r="N440" s="200"/>
      <c r="O440" s="200"/>
      <c r="P440" s="200"/>
      <c r="Q440" s="200"/>
      <c r="R440" s="200"/>
      <c r="S440" s="200"/>
      <c r="T440" s="200"/>
    </row>
    <row r="441" ht="13.5" customHeight="1">
      <c r="A441" s="200"/>
      <c r="B441" s="200"/>
      <c r="C441" s="200"/>
      <c r="D441" s="200"/>
      <c r="E441" s="200"/>
      <c r="F441" s="200"/>
      <c r="G441" s="200"/>
      <c r="H441" s="200"/>
      <c r="I441" s="200"/>
      <c r="J441" s="200"/>
      <c r="K441" s="200"/>
      <c r="L441" s="200"/>
      <c r="M441" s="200"/>
      <c r="N441" s="200"/>
      <c r="O441" s="200"/>
      <c r="P441" s="200"/>
      <c r="Q441" s="200"/>
      <c r="R441" s="200"/>
      <c r="S441" s="200"/>
      <c r="T441" s="200"/>
    </row>
    <row r="442" ht="13.5" customHeight="1">
      <c r="A442" s="200"/>
      <c r="B442" s="200"/>
      <c r="C442" s="200"/>
      <c r="D442" s="200"/>
      <c r="E442" s="200"/>
      <c r="F442" s="200"/>
      <c r="G442" s="200"/>
      <c r="H442" s="200"/>
      <c r="I442" s="200"/>
      <c r="J442" s="200"/>
      <c r="K442" s="200"/>
      <c r="L442" s="200"/>
      <c r="M442" s="200"/>
      <c r="N442" s="200"/>
      <c r="O442" s="200"/>
      <c r="P442" s="200"/>
      <c r="Q442" s="200"/>
      <c r="R442" s="200"/>
      <c r="S442" s="200"/>
      <c r="T442" s="200"/>
    </row>
    <row r="443" ht="13.5" customHeight="1">
      <c r="A443" s="200"/>
      <c r="B443" s="200"/>
      <c r="C443" s="200"/>
      <c r="D443" s="200"/>
      <c r="E443" s="200"/>
      <c r="F443" s="200"/>
      <c r="G443" s="200"/>
      <c r="H443" s="200"/>
      <c r="I443" s="200"/>
      <c r="J443" s="200"/>
      <c r="K443" s="200"/>
      <c r="L443" s="200"/>
      <c r="M443" s="200"/>
      <c r="N443" s="200"/>
      <c r="O443" s="200"/>
      <c r="P443" s="200"/>
      <c r="Q443" s="200"/>
      <c r="R443" s="200"/>
      <c r="S443" s="200"/>
      <c r="T443" s="200"/>
    </row>
    <row r="444" ht="13.5" customHeight="1">
      <c r="A444" s="200"/>
      <c r="B444" s="200"/>
      <c r="C444" s="200"/>
      <c r="D444" s="200"/>
      <c r="E444" s="200"/>
      <c r="F444" s="200"/>
      <c r="G444" s="200"/>
      <c r="H444" s="200"/>
      <c r="I444" s="200"/>
      <c r="J444" s="200"/>
      <c r="K444" s="200"/>
      <c r="L444" s="200"/>
      <c r="M444" s="200"/>
      <c r="N444" s="200"/>
      <c r="O444" s="200"/>
      <c r="P444" s="200"/>
      <c r="Q444" s="200"/>
      <c r="R444" s="200"/>
      <c r="S444" s="200"/>
      <c r="T444" s="200"/>
    </row>
    <row r="445" ht="13.5" customHeight="1">
      <c r="A445" s="200"/>
      <c r="B445" s="200"/>
      <c r="C445" s="200"/>
      <c r="D445" s="200"/>
      <c r="E445" s="200"/>
      <c r="F445" s="200"/>
      <c r="G445" s="200"/>
      <c r="H445" s="200"/>
      <c r="I445" s="200"/>
      <c r="J445" s="200"/>
      <c r="K445" s="200"/>
      <c r="L445" s="200"/>
      <c r="M445" s="200"/>
      <c r="N445" s="200"/>
      <c r="O445" s="200"/>
      <c r="P445" s="200"/>
      <c r="Q445" s="200"/>
      <c r="R445" s="200"/>
      <c r="S445" s="200"/>
      <c r="T445" s="200"/>
    </row>
    <row r="446" ht="13.5" customHeight="1">
      <c r="A446" s="200"/>
      <c r="B446" s="200"/>
      <c r="C446" s="200"/>
      <c r="D446" s="200"/>
      <c r="E446" s="200"/>
      <c r="F446" s="200"/>
      <c r="G446" s="200"/>
      <c r="H446" s="200"/>
      <c r="I446" s="200"/>
      <c r="J446" s="200"/>
      <c r="K446" s="200"/>
      <c r="L446" s="200"/>
      <c r="M446" s="200"/>
      <c r="N446" s="200"/>
      <c r="O446" s="200"/>
      <c r="P446" s="200"/>
      <c r="Q446" s="200"/>
      <c r="R446" s="200"/>
      <c r="S446" s="200"/>
      <c r="T446" s="200"/>
    </row>
    <row r="447" ht="13.5" customHeight="1">
      <c r="A447" s="200"/>
      <c r="B447" s="200"/>
      <c r="C447" s="200"/>
      <c r="D447" s="200"/>
      <c r="E447" s="200"/>
      <c r="F447" s="200"/>
      <c r="G447" s="200"/>
      <c r="H447" s="200"/>
      <c r="I447" s="200"/>
      <c r="J447" s="200"/>
      <c r="K447" s="200"/>
      <c r="L447" s="200"/>
      <c r="M447" s="200"/>
      <c r="N447" s="200"/>
      <c r="O447" s="200"/>
      <c r="P447" s="200"/>
      <c r="Q447" s="200"/>
      <c r="R447" s="200"/>
      <c r="S447" s="200"/>
      <c r="T447" s="200"/>
    </row>
    <row r="448" ht="13.5" customHeight="1">
      <c r="A448" s="200"/>
      <c r="B448" s="200"/>
      <c r="C448" s="200"/>
      <c r="D448" s="200"/>
      <c r="E448" s="200"/>
      <c r="F448" s="200"/>
      <c r="G448" s="200"/>
      <c r="H448" s="200"/>
      <c r="I448" s="200"/>
      <c r="J448" s="200"/>
      <c r="K448" s="200"/>
      <c r="L448" s="200"/>
      <c r="M448" s="200"/>
      <c r="N448" s="200"/>
      <c r="O448" s="200"/>
      <c r="P448" s="200"/>
      <c r="Q448" s="200"/>
      <c r="R448" s="200"/>
      <c r="S448" s="200"/>
      <c r="T448" s="200"/>
    </row>
    <row r="449" ht="13.5" customHeight="1">
      <c r="A449" s="200"/>
      <c r="B449" s="200"/>
      <c r="C449" s="200"/>
      <c r="D449" s="200"/>
      <c r="E449" s="200"/>
      <c r="F449" s="200"/>
      <c r="G449" s="200"/>
      <c r="H449" s="200"/>
      <c r="I449" s="200"/>
      <c r="J449" s="200"/>
      <c r="K449" s="200"/>
      <c r="L449" s="200"/>
      <c r="M449" s="200"/>
      <c r="N449" s="200"/>
      <c r="O449" s="200"/>
      <c r="P449" s="200"/>
      <c r="Q449" s="200"/>
      <c r="R449" s="200"/>
      <c r="S449" s="200"/>
      <c r="T449" s="200"/>
    </row>
    <row r="450" ht="13.5" customHeight="1">
      <c r="A450" s="200"/>
      <c r="B450" s="200"/>
      <c r="C450" s="200"/>
      <c r="D450" s="200"/>
      <c r="E450" s="200"/>
      <c r="F450" s="200"/>
      <c r="G450" s="200"/>
      <c r="H450" s="200"/>
      <c r="I450" s="200"/>
      <c r="J450" s="200"/>
      <c r="K450" s="200"/>
      <c r="L450" s="200"/>
      <c r="M450" s="200"/>
      <c r="N450" s="200"/>
      <c r="O450" s="200"/>
      <c r="P450" s="200"/>
      <c r="Q450" s="200"/>
      <c r="R450" s="200"/>
      <c r="S450" s="200"/>
      <c r="T450" s="200"/>
    </row>
    <row r="451" ht="13.5" customHeight="1">
      <c r="A451" s="200"/>
      <c r="B451" s="200"/>
      <c r="C451" s="200"/>
      <c r="D451" s="200"/>
      <c r="E451" s="200"/>
      <c r="F451" s="200"/>
      <c r="G451" s="200"/>
      <c r="H451" s="200"/>
      <c r="I451" s="200"/>
      <c r="J451" s="200"/>
      <c r="K451" s="200"/>
      <c r="L451" s="200"/>
      <c r="M451" s="200"/>
      <c r="N451" s="200"/>
      <c r="O451" s="200"/>
      <c r="P451" s="200"/>
      <c r="Q451" s="200"/>
      <c r="R451" s="200"/>
      <c r="S451" s="200"/>
      <c r="T451" s="200"/>
    </row>
    <row r="452" ht="13.5" customHeight="1">
      <c r="A452" s="200"/>
      <c r="B452" s="200"/>
      <c r="C452" s="200"/>
      <c r="D452" s="200"/>
      <c r="E452" s="200"/>
      <c r="F452" s="200"/>
      <c r="G452" s="200"/>
      <c r="H452" s="200"/>
      <c r="I452" s="200"/>
      <c r="J452" s="200"/>
      <c r="K452" s="200"/>
      <c r="L452" s="200"/>
      <c r="M452" s="200"/>
      <c r="N452" s="200"/>
      <c r="O452" s="200"/>
      <c r="P452" s="200"/>
      <c r="Q452" s="200"/>
      <c r="R452" s="200"/>
      <c r="S452" s="200"/>
      <c r="T452" s="200"/>
    </row>
    <row r="453" ht="13.5" customHeight="1">
      <c r="A453" s="200"/>
      <c r="B453" s="200"/>
      <c r="C453" s="200"/>
      <c r="D453" s="200"/>
      <c r="E453" s="200"/>
      <c r="F453" s="200"/>
      <c r="G453" s="200"/>
      <c r="H453" s="200"/>
      <c r="I453" s="200"/>
      <c r="J453" s="200"/>
      <c r="K453" s="200"/>
      <c r="L453" s="200"/>
      <c r="M453" s="200"/>
      <c r="N453" s="200"/>
      <c r="O453" s="200"/>
      <c r="P453" s="200"/>
      <c r="Q453" s="200"/>
      <c r="R453" s="200"/>
      <c r="S453" s="200"/>
      <c r="T453" s="200"/>
    </row>
    <row r="454" ht="13.5" customHeight="1">
      <c r="A454" s="200"/>
      <c r="B454" s="200"/>
      <c r="C454" s="200"/>
      <c r="D454" s="200"/>
      <c r="E454" s="200"/>
      <c r="F454" s="200"/>
      <c r="G454" s="200"/>
      <c r="H454" s="200"/>
      <c r="I454" s="200"/>
      <c r="J454" s="200"/>
      <c r="K454" s="200"/>
      <c r="L454" s="200"/>
      <c r="M454" s="200"/>
      <c r="N454" s="200"/>
      <c r="O454" s="200"/>
      <c r="P454" s="200"/>
      <c r="Q454" s="200"/>
      <c r="R454" s="200"/>
      <c r="S454" s="200"/>
      <c r="T454" s="200"/>
    </row>
    <row r="455" ht="13.5" customHeight="1">
      <c r="A455" s="200"/>
      <c r="B455" s="200"/>
      <c r="C455" s="200"/>
      <c r="D455" s="200"/>
      <c r="E455" s="200"/>
      <c r="F455" s="200"/>
      <c r="G455" s="200"/>
      <c r="H455" s="200"/>
      <c r="I455" s="200"/>
      <c r="J455" s="200"/>
      <c r="K455" s="200"/>
      <c r="L455" s="200"/>
      <c r="M455" s="200"/>
      <c r="N455" s="200"/>
      <c r="O455" s="200"/>
      <c r="P455" s="200"/>
      <c r="Q455" s="200"/>
      <c r="R455" s="200"/>
      <c r="S455" s="200"/>
      <c r="T455" s="200"/>
    </row>
    <row r="456" ht="13.5" customHeight="1">
      <c r="A456" s="200"/>
      <c r="B456" s="200"/>
      <c r="C456" s="200"/>
      <c r="D456" s="200"/>
      <c r="E456" s="200"/>
      <c r="F456" s="200"/>
      <c r="G456" s="200"/>
      <c r="H456" s="200"/>
      <c r="I456" s="200"/>
      <c r="J456" s="200"/>
      <c r="K456" s="200"/>
      <c r="L456" s="200"/>
      <c r="M456" s="200"/>
      <c r="N456" s="200"/>
      <c r="O456" s="200"/>
      <c r="P456" s="200"/>
      <c r="Q456" s="200"/>
      <c r="R456" s="200"/>
      <c r="S456" s="200"/>
      <c r="T456" s="200"/>
    </row>
    <row r="457" ht="13.5" customHeight="1">
      <c r="A457" s="200"/>
      <c r="B457" s="200"/>
      <c r="C457" s="200"/>
      <c r="D457" s="200"/>
      <c r="E457" s="200"/>
      <c r="F457" s="200"/>
      <c r="G457" s="200"/>
      <c r="H457" s="200"/>
      <c r="I457" s="200"/>
      <c r="J457" s="200"/>
      <c r="K457" s="200"/>
      <c r="L457" s="200"/>
      <c r="M457" s="200"/>
      <c r="N457" s="200"/>
      <c r="O457" s="200"/>
      <c r="P457" s="200"/>
      <c r="Q457" s="200"/>
      <c r="R457" s="200"/>
      <c r="S457" s="200"/>
      <c r="T457" s="200"/>
    </row>
    <row r="458" ht="13.5" customHeight="1">
      <c r="A458" s="200"/>
      <c r="B458" s="200"/>
      <c r="C458" s="200"/>
      <c r="D458" s="200"/>
      <c r="E458" s="200"/>
      <c r="F458" s="200"/>
      <c r="G458" s="200"/>
      <c r="H458" s="200"/>
      <c r="I458" s="200"/>
      <c r="J458" s="200"/>
      <c r="K458" s="200"/>
      <c r="L458" s="200"/>
      <c r="M458" s="200"/>
      <c r="N458" s="200"/>
      <c r="O458" s="200"/>
      <c r="P458" s="200"/>
      <c r="Q458" s="200"/>
      <c r="R458" s="200"/>
      <c r="S458" s="200"/>
      <c r="T458" s="200"/>
    </row>
    <row r="459" ht="13.5" customHeight="1">
      <c r="A459" s="200"/>
      <c r="B459" s="200"/>
      <c r="C459" s="200"/>
      <c r="D459" s="200"/>
      <c r="E459" s="200"/>
      <c r="F459" s="200"/>
      <c r="G459" s="200"/>
      <c r="H459" s="200"/>
      <c r="I459" s="200"/>
      <c r="J459" s="200"/>
      <c r="K459" s="200"/>
      <c r="L459" s="200"/>
      <c r="M459" s="200"/>
      <c r="N459" s="200"/>
      <c r="O459" s="200"/>
      <c r="P459" s="200"/>
      <c r="Q459" s="200"/>
      <c r="R459" s="200"/>
      <c r="S459" s="200"/>
      <c r="T459" s="200"/>
    </row>
    <row r="460" ht="13.5" customHeight="1">
      <c r="A460" s="200"/>
      <c r="B460" s="200"/>
      <c r="C460" s="200"/>
      <c r="D460" s="200"/>
      <c r="E460" s="200"/>
      <c r="F460" s="200"/>
      <c r="G460" s="200"/>
      <c r="H460" s="200"/>
      <c r="I460" s="200"/>
      <c r="J460" s="200"/>
      <c r="K460" s="200"/>
      <c r="L460" s="200"/>
      <c r="M460" s="200"/>
      <c r="N460" s="200"/>
      <c r="O460" s="200"/>
      <c r="P460" s="200"/>
      <c r="Q460" s="200"/>
      <c r="R460" s="200"/>
      <c r="S460" s="200"/>
      <c r="T460" s="200"/>
    </row>
    <row r="461" ht="13.5" customHeight="1">
      <c r="A461" s="200"/>
      <c r="B461" s="200"/>
      <c r="C461" s="200"/>
      <c r="D461" s="200"/>
      <c r="E461" s="200"/>
      <c r="F461" s="200"/>
      <c r="G461" s="200"/>
      <c r="H461" s="200"/>
      <c r="I461" s="200"/>
      <c r="J461" s="200"/>
      <c r="K461" s="200"/>
      <c r="L461" s="200"/>
      <c r="M461" s="200"/>
      <c r="N461" s="200"/>
      <c r="O461" s="200"/>
      <c r="P461" s="200"/>
      <c r="Q461" s="200"/>
      <c r="R461" s="200"/>
      <c r="S461" s="200"/>
      <c r="T461" s="200"/>
    </row>
    <row r="462" ht="13.5" customHeight="1">
      <c r="A462" s="200"/>
      <c r="B462" s="200"/>
      <c r="C462" s="200"/>
      <c r="D462" s="200"/>
      <c r="E462" s="200"/>
      <c r="F462" s="200"/>
      <c r="G462" s="200"/>
      <c r="H462" s="200"/>
      <c r="I462" s="200"/>
      <c r="J462" s="200"/>
      <c r="K462" s="200"/>
      <c r="L462" s="200"/>
      <c r="M462" s="200"/>
      <c r="N462" s="200"/>
      <c r="O462" s="200"/>
      <c r="P462" s="200"/>
      <c r="Q462" s="200"/>
      <c r="R462" s="200"/>
      <c r="S462" s="200"/>
      <c r="T462" s="200"/>
    </row>
    <row r="463" ht="13.5" customHeight="1">
      <c r="A463" s="200"/>
      <c r="B463" s="200"/>
      <c r="C463" s="200"/>
      <c r="D463" s="200"/>
      <c r="E463" s="200"/>
      <c r="F463" s="200"/>
      <c r="G463" s="200"/>
      <c r="H463" s="200"/>
      <c r="I463" s="200"/>
      <c r="J463" s="200"/>
      <c r="K463" s="200"/>
      <c r="L463" s="200"/>
      <c r="M463" s="200"/>
      <c r="N463" s="200"/>
      <c r="O463" s="200"/>
      <c r="P463" s="200"/>
      <c r="Q463" s="200"/>
      <c r="R463" s="200"/>
      <c r="S463" s="200"/>
      <c r="T463" s="200"/>
    </row>
    <row r="464" ht="13.5" customHeight="1">
      <c r="A464" s="200"/>
      <c r="B464" s="200"/>
      <c r="C464" s="200"/>
      <c r="D464" s="200"/>
      <c r="E464" s="200"/>
      <c r="F464" s="200"/>
      <c r="G464" s="200"/>
      <c r="H464" s="200"/>
      <c r="I464" s="200"/>
      <c r="J464" s="200"/>
      <c r="K464" s="200"/>
      <c r="L464" s="200"/>
      <c r="M464" s="200"/>
      <c r="N464" s="200"/>
      <c r="O464" s="200"/>
      <c r="P464" s="200"/>
      <c r="Q464" s="200"/>
      <c r="R464" s="200"/>
      <c r="S464" s="200"/>
      <c r="T464" s="200"/>
    </row>
    <row r="465" ht="13.5" customHeight="1">
      <c r="A465" s="200"/>
      <c r="B465" s="200"/>
      <c r="C465" s="200"/>
      <c r="D465" s="200"/>
      <c r="E465" s="200"/>
      <c r="F465" s="200"/>
      <c r="G465" s="200"/>
      <c r="H465" s="200"/>
      <c r="I465" s="200"/>
      <c r="J465" s="200"/>
      <c r="K465" s="200"/>
      <c r="L465" s="200"/>
      <c r="M465" s="200"/>
      <c r="N465" s="200"/>
      <c r="O465" s="200"/>
      <c r="P465" s="200"/>
      <c r="Q465" s="200"/>
      <c r="R465" s="200"/>
      <c r="S465" s="200"/>
      <c r="T465" s="200"/>
    </row>
    <row r="466" ht="13.5" customHeight="1">
      <c r="A466" s="200"/>
      <c r="B466" s="200"/>
      <c r="C466" s="200"/>
      <c r="D466" s="200"/>
      <c r="E466" s="200"/>
      <c r="F466" s="200"/>
      <c r="G466" s="200"/>
      <c r="H466" s="200"/>
      <c r="I466" s="200"/>
      <c r="J466" s="200"/>
      <c r="K466" s="200"/>
      <c r="L466" s="200"/>
      <c r="M466" s="200"/>
      <c r="N466" s="200"/>
      <c r="O466" s="200"/>
      <c r="P466" s="200"/>
      <c r="Q466" s="200"/>
      <c r="R466" s="200"/>
      <c r="S466" s="200"/>
      <c r="T466" s="200"/>
    </row>
    <row r="467" ht="13.5" customHeight="1">
      <c r="A467" s="200"/>
      <c r="B467" s="200"/>
      <c r="C467" s="200"/>
      <c r="D467" s="200"/>
      <c r="E467" s="200"/>
      <c r="F467" s="200"/>
      <c r="G467" s="200"/>
      <c r="H467" s="200"/>
      <c r="I467" s="200"/>
      <c r="J467" s="200"/>
      <c r="K467" s="200"/>
      <c r="L467" s="200"/>
      <c r="M467" s="200"/>
      <c r="N467" s="200"/>
      <c r="O467" s="200"/>
      <c r="P467" s="200"/>
      <c r="Q467" s="200"/>
      <c r="R467" s="200"/>
      <c r="S467" s="200"/>
      <c r="T467" s="200"/>
    </row>
    <row r="468" ht="13.5" customHeight="1">
      <c r="A468" s="200"/>
      <c r="B468" s="200"/>
      <c r="C468" s="200"/>
      <c r="D468" s="200"/>
      <c r="E468" s="200"/>
      <c r="F468" s="200"/>
      <c r="G468" s="200"/>
      <c r="H468" s="200"/>
      <c r="I468" s="200"/>
      <c r="J468" s="200"/>
      <c r="K468" s="200"/>
      <c r="L468" s="200"/>
      <c r="M468" s="200"/>
      <c r="N468" s="200"/>
      <c r="O468" s="200"/>
      <c r="P468" s="200"/>
      <c r="Q468" s="200"/>
      <c r="R468" s="200"/>
      <c r="S468" s="200"/>
      <c r="T468" s="200"/>
    </row>
    <row r="469" ht="13.5" customHeight="1">
      <c r="A469" s="200"/>
      <c r="B469" s="200"/>
      <c r="C469" s="200"/>
      <c r="D469" s="200"/>
      <c r="E469" s="200"/>
      <c r="F469" s="200"/>
      <c r="G469" s="200"/>
      <c r="H469" s="200"/>
      <c r="I469" s="200"/>
      <c r="J469" s="200"/>
      <c r="K469" s="200"/>
      <c r="L469" s="200"/>
      <c r="M469" s="200"/>
      <c r="N469" s="200"/>
      <c r="O469" s="200"/>
      <c r="P469" s="200"/>
      <c r="Q469" s="200"/>
      <c r="R469" s="200"/>
      <c r="S469" s="200"/>
      <c r="T469" s="200"/>
    </row>
    <row r="470" ht="13.5" customHeight="1">
      <c r="A470" s="200"/>
      <c r="B470" s="200"/>
      <c r="C470" s="200"/>
      <c r="D470" s="200"/>
      <c r="E470" s="200"/>
      <c r="F470" s="200"/>
      <c r="G470" s="200"/>
      <c r="H470" s="200"/>
      <c r="I470" s="200"/>
      <c r="J470" s="200"/>
      <c r="K470" s="200"/>
      <c r="L470" s="200"/>
      <c r="M470" s="200"/>
      <c r="N470" s="200"/>
      <c r="O470" s="200"/>
      <c r="P470" s="200"/>
      <c r="Q470" s="200"/>
      <c r="R470" s="200"/>
      <c r="S470" s="200"/>
      <c r="T470" s="200"/>
    </row>
    <row r="471" ht="13.5" customHeight="1">
      <c r="A471" s="200"/>
      <c r="B471" s="200"/>
      <c r="C471" s="200"/>
      <c r="D471" s="200"/>
      <c r="E471" s="200"/>
      <c r="F471" s="200"/>
      <c r="G471" s="200"/>
      <c r="H471" s="200"/>
      <c r="I471" s="200"/>
      <c r="J471" s="200"/>
      <c r="K471" s="200"/>
      <c r="L471" s="200"/>
      <c r="M471" s="200"/>
      <c r="N471" s="200"/>
      <c r="O471" s="200"/>
      <c r="P471" s="200"/>
      <c r="Q471" s="200"/>
      <c r="R471" s="200"/>
      <c r="S471" s="200"/>
      <c r="T471" s="200"/>
    </row>
    <row r="472" ht="13.5" customHeight="1">
      <c r="A472" s="200"/>
      <c r="B472" s="200"/>
      <c r="C472" s="200"/>
      <c r="D472" s="200"/>
      <c r="E472" s="200"/>
      <c r="F472" s="200"/>
      <c r="G472" s="200"/>
      <c r="H472" s="200"/>
      <c r="I472" s="200"/>
      <c r="J472" s="200"/>
      <c r="K472" s="200"/>
      <c r="L472" s="200"/>
      <c r="M472" s="200"/>
      <c r="N472" s="200"/>
      <c r="O472" s="200"/>
      <c r="P472" s="200"/>
      <c r="Q472" s="200"/>
      <c r="R472" s="200"/>
      <c r="S472" s="200"/>
      <c r="T472" s="200"/>
    </row>
    <row r="473" ht="13.5" customHeight="1">
      <c r="A473" s="200"/>
      <c r="B473" s="200"/>
      <c r="C473" s="200"/>
      <c r="D473" s="200"/>
      <c r="E473" s="200"/>
      <c r="F473" s="200"/>
      <c r="G473" s="200"/>
      <c r="H473" s="200"/>
      <c r="I473" s="200"/>
      <c r="J473" s="200"/>
      <c r="K473" s="200"/>
      <c r="L473" s="200"/>
      <c r="M473" s="200"/>
      <c r="N473" s="200"/>
      <c r="O473" s="200"/>
      <c r="P473" s="200"/>
      <c r="Q473" s="200"/>
      <c r="R473" s="200"/>
      <c r="S473" s="200"/>
      <c r="T473" s="200"/>
    </row>
    <row r="474" ht="13.5" customHeight="1">
      <c r="A474" s="200"/>
      <c r="B474" s="200"/>
      <c r="C474" s="200"/>
      <c r="D474" s="200"/>
      <c r="E474" s="200"/>
      <c r="F474" s="200"/>
      <c r="G474" s="200"/>
      <c r="H474" s="200"/>
      <c r="I474" s="200"/>
      <c r="J474" s="200"/>
      <c r="K474" s="200"/>
      <c r="L474" s="200"/>
      <c r="M474" s="200"/>
      <c r="N474" s="200"/>
      <c r="O474" s="200"/>
      <c r="P474" s="200"/>
      <c r="Q474" s="200"/>
      <c r="R474" s="200"/>
      <c r="S474" s="200"/>
      <c r="T474" s="200"/>
    </row>
    <row r="475" ht="13.5" customHeight="1">
      <c r="A475" s="200"/>
      <c r="B475" s="200"/>
      <c r="C475" s="200"/>
      <c r="D475" s="200"/>
      <c r="E475" s="200"/>
      <c r="F475" s="200"/>
      <c r="G475" s="200"/>
      <c r="H475" s="200"/>
      <c r="I475" s="200"/>
      <c r="J475" s="200"/>
      <c r="K475" s="200"/>
      <c r="L475" s="200"/>
      <c r="M475" s="200"/>
      <c r="N475" s="200"/>
      <c r="O475" s="200"/>
      <c r="P475" s="200"/>
      <c r="Q475" s="200"/>
      <c r="R475" s="200"/>
      <c r="S475" s="200"/>
      <c r="T475" s="200"/>
    </row>
    <row r="476" ht="13.5" customHeight="1">
      <c r="A476" s="200"/>
      <c r="B476" s="200"/>
      <c r="C476" s="200"/>
      <c r="D476" s="200"/>
      <c r="E476" s="200"/>
      <c r="F476" s="200"/>
      <c r="G476" s="200"/>
      <c r="H476" s="200"/>
      <c r="I476" s="200"/>
      <c r="J476" s="200"/>
      <c r="K476" s="200"/>
      <c r="L476" s="200"/>
      <c r="M476" s="200"/>
      <c r="N476" s="200"/>
      <c r="O476" s="200"/>
      <c r="P476" s="200"/>
      <c r="Q476" s="200"/>
      <c r="R476" s="200"/>
      <c r="S476" s="200"/>
      <c r="T476" s="200"/>
    </row>
    <row r="477" ht="13.5" customHeight="1">
      <c r="A477" s="200"/>
      <c r="B477" s="200"/>
      <c r="C477" s="200"/>
      <c r="D477" s="200"/>
      <c r="E477" s="200"/>
      <c r="F477" s="200"/>
      <c r="G477" s="200"/>
      <c r="H477" s="200"/>
      <c r="I477" s="200"/>
      <c r="J477" s="200"/>
      <c r="K477" s="200"/>
      <c r="L477" s="200"/>
      <c r="M477" s="200"/>
      <c r="N477" s="200"/>
      <c r="O477" s="200"/>
      <c r="P477" s="200"/>
      <c r="Q477" s="200"/>
      <c r="R477" s="200"/>
      <c r="S477" s="200"/>
      <c r="T477" s="200"/>
    </row>
    <row r="478" ht="13.5" customHeight="1">
      <c r="A478" s="200"/>
      <c r="B478" s="200"/>
      <c r="C478" s="200"/>
      <c r="D478" s="200"/>
      <c r="E478" s="200"/>
      <c r="F478" s="200"/>
      <c r="G478" s="200"/>
      <c r="H478" s="200"/>
      <c r="I478" s="200"/>
      <c r="J478" s="200"/>
      <c r="K478" s="200"/>
      <c r="L478" s="200"/>
      <c r="M478" s="200"/>
      <c r="N478" s="200"/>
      <c r="O478" s="200"/>
      <c r="P478" s="200"/>
      <c r="Q478" s="200"/>
      <c r="R478" s="200"/>
      <c r="S478" s="200"/>
      <c r="T478" s="200"/>
    </row>
    <row r="479" ht="13.5" customHeight="1">
      <c r="A479" s="200"/>
      <c r="B479" s="200"/>
      <c r="C479" s="200"/>
      <c r="D479" s="200"/>
      <c r="E479" s="200"/>
      <c r="F479" s="200"/>
      <c r="G479" s="200"/>
      <c r="H479" s="200"/>
      <c r="I479" s="200"/>
      <c r="J479" s="200"/>
      <c r="K479" s="200"/>
      <c r="L479" s="200"/>
      <c r="M479" s="200"/>
      <c r="N479" s="200"/>
      <c r="O479" s="200"/>
      <c r="P479" s="200"/>
      <c r="Q479" s="200"/>
      <c r="R479" s="200"/>
      <c r="S479" s="200"/>
      <c r="T479" s="200"/>
    </row>
    <row r="480" ht="13.5" customHeight="1">
      <c r="A480" s="200"/>
      <c r="B480" s="200"/>
      <c r="C480" s="200"/>
      <c r="D480" s="200"/>
      <c r="E480" s="200"/>
      <c r="F480" s="200"/>
      <c r="G480" s="200"/>
      <c r="H480" s="200"/>
      <c r="I480" s="200"/>
      <c r="J480" s="200"/>
      <c r="K480" s="200"/>
      <c r="L480" s="200"/>
      <c r="M480" s="200"/>
      <c r="N480" s="200"/>
      <c r="O480" s="200"/>
      <c r="P480" s="200"/>
      <c r="Q480" s="200"/>
      <c r="R480" s="200"/>
      <c r="S480" s="200"/>
      <c r="T480" s="200"/>
    </row>
    <row r="481" ht="13.5" customHeight="1">
      <c r="A481" s="200"/>
      <c r="B481" s="200"/>
      <c r="C481" s="200"/>
      <c r="D481" s="200"/>
      <c r="E481" s="200"/>
      <c r="F481" s="200"/>
      <c r="G481" s="200"/>
      <c r="H481" s="200"/>
      <c r="I481" s="200"/>
      <c r="J481" s="200"/>
      <c r="K481" s="200"/>
      <c r="L481" s="200"/>
      <c r="M481" s="200"/>
      <c r="N481" s="200"/>
      <c r="O481" s="200"/>
      <c r="P481" s="200"/>
      <c r="Q481" s="200"/>
      <c r="R481" s="200"/>
      <c r="S481" s="200"/>
      <c r="T481" s="200"/>
    </row>
    <row r="482" ht="13.5" customHeight="1">
      <c r="A482" s="200"/>
      <c r="B482" s="200"/>
      <c r="C482" s="200"/>
      <c r="D482" s="200"/>
      <c r="E482" s="200"/>
      <c r="F482" s="200"/>
      <c r="G482" s="200"/>
      <c r="H482" s="200"/>
      <c r="I482" s="200"/>
      <c r="J482" s="200"/>
      <c r="K482" s="200"/>
      <c r="L482" s="200"/>
      <c r="M482" s="200"/>
      <c r="N482" s="200"/>
      <c r="O482" s="200"/>
      <c r="P482" s="200"/>
      <c r="Q482" s="200"/>
      <c r="R482" s="200"/>
      <c r="S482" s="200"/>
      <c r="T482" s="200"/>
    </row>
    <row r="483" ht="13.5" customHeight="1">
      <c r="A483" s="200"/>
      <c r="B483" s="200"/>
      <c r="C483" s="200"/>
      <c r="D483" s="200"/>
      <c r="E483" s="200"/>
      <c r="F483" s="200"/>
      <c r="G483" s="200"/>
      <c r="H483" s="200"/>
      <c r="I483" s="200"/>
      <c r="J483" s="200"/>
      <c r="K483" s="200"/>
      <c r="L483" s="200"/>
      <c r="M483" s="200"/>
      <c r="N483" s="200"/>
      <c r="O483" s="200"/>
      <c r="P483" s="200"/>
      <c r="Q483" s="200"/>
      <c r="R483" s="200"/>
      <c r="S483" s="200"/>
      <c r="T483" s="200"/>
    </row>
    <row r="484" ht="13.5" customHeight="1">
      <c r="A484" s="200"/>
      <c r="B484" s="200"/>
      <c r="C484" s="200"/>
      <c r="D484" s="200"/>
      <c r="E484" s="200"/>
      <c r="F484" s="200"/>
      <c r="G484" s="200"/>
      <c r="H484" s="200"/>
      <c r="I484" s="200"/>
      <c r="J484" s="200"/>
      <c r="K484" s="200"/>
      <c r="L484" s="200"/>
      <c r="M484" s="200"/>
      <c r="N484" s="200"/>
      <c r="O484" s="200"/>
      <c r="P484" s="200"/>
      <c r="Q484" s="200"/>
      <c r="R484" s="200"/>
      <c r="S484" s="200"/>
      <c r="T484" s="200"/>
    </row>
    <row r="485" ht="13.5" customHeight="1">
      <c r="A485" s="200"/>
      <c r="B485" s="200"/>
      <c r="C485" s="200"/>
      <c r="D485" s="200"/>
      <c r="E485" s="200"/>
      <c r="F485" s="200"/>
      <c r="G485" s="200"/>
      <c r="H485" s="200"/>
      <c r="I485" s="200"/>
      <c r="J485" s="200"/>
      <c r="K485" s="200"/>
      <c r="L485" s="200"/>
      <c r="M485" s="200"/>
      <c r="N485" s="200"/>
      <c r="O485" s="200"/>
      <c r="P485" s="200"/>
      <c r="Q485" s="200"/>
      <c r="R485" s="200"/>
      <c r="S485" s="200"/>
      <c r="T485" s="200"/>
    </row>
    <row r="486" ht="13.5" customHeight="1">
      <c r="A486" s="200"/>
      <c r="B486" s="200"/>
      <c r="C486" s="200"/>
      <c r="D486" s="200"/>
      <c r="E486" s="200"/>
      <c r="F486" s="200"/>
      <c r="G486" s="200"/>
      <c r="H486" s="200"/>
      <c r="I486" s="200"/>
      <c r="J486" s="200"/>
      <c r="K486" s="200"/>
      <c r="L486" s="200"/>
      <c r="M486" s="200"/>
      <c r="N486" s="200"/>
      <c r="O486" s="200"/>
      <c r="P486" s="200"/>
      <c r="Q486" s="200"/>
      <c r="R486" s="200"/>
      <c r="S486" s="200"/>
      <c r="T486" s="200"/>
    </row>
    <row r="487" ht="13.5" customHeight="1">
      <c r="A487" s="200"/>
      <c r="B487" s="200"/>
      <c r="C487" s="200"/>
      <c r="D487" s="200"/>
      <c r="E487" s="200"/>
      <c r="F487" s="200"/>
      <c r="G487" s="200"/>
      <c r="H487" s="200"/>
      <c r="I487" s="200"/>
      <c r="J487" s="200"/>
      <c r="K487" s="200"/>
      <c r="L487" s="200"/>
      <c r="M487" s="200"/>
      <c r="N487" s="200"/>
      <c r="O487" s="200"/>
      <c r="P487" s="200"/>
      <c r="Q487" s="200"/>
      <c r="R487" s="200"/>
      <c r="S487" s="200"/>
      <c r="T487" s="200"/>
    </row>
    <row r="488" ht="13.5" customHeight="1">
      <c r="A488" s="200"/>
      <c r="B488" s="200"/>
      <c r="C488" s="200"/>
      <c r="D488" s="200"/>
      <c r="E488" s="200"/>
      <c r="F488" s="200"/>
      <c r="G488" s="200"/>
      <c r="H488" s="200"/>
      <c r="I488" s="200"/>
      <c r="J488" s="200"/>
      <c r="K488" s="200"/>
      <c r="L488" s="200"/>
      <c r="M488" s="200"/>
      <c r="N488" s="200"/>
      <c r="O488" s="200"/>
      <c r="P488" s="200"/>
      <c r="Q488" s="200"/>
      <c r="R488" s="200"/>
      <c r="S488" s="200"/>
      <c r="T488" s="200"/>
    </row>
    <row r="489" ht="13.5" customHeight="1">
      <c r="A489" s="200"/>
      <c r="B489" s="200"/>
      <c r="C489" s="200"/>
      <c r="D489" s="200"/>
      <c r="E489" s="200"/>
      <c r="F489" s="200"/>
      <c r="G489" s="200"/>
      <c r="H489" s="200"/>
      <c r="I489" s="200"/>
      <c r="J489" s="200"/>
      <c r="K489" s="200"/>
      <c r="L489" s="200"/>
      <c r="M489" s="200"/>
      <c r="N489" s="200"/>
      <c r="O489" s="200"/>
      <c r="P489" s="200"/>
      <c r="Q489" s="200"/>
      <c r="R489" s="200"/>
      <c r="S489" s="200"/>
      <c r="T489" s="200"/>
    </row>
    <row r="490" ht="13.5" customHeight="1">
      <c r="A490" s="200"/>
      <c r="B490" s="200"/>
      <c r="C490" s="200"/>
      <c r="D490" s="200"/>
      <c r="E490" s="200"/>
      <c r="F490" s="200"/>
      <c r="G490" s="200"/>
      <c r="H490" s="200"/>
      <c r="I490" s="200"/>
      <c r="J490" s="200"/>
      <c r="K490" s="200"/>
      <c r="L490" s="200"/>
      <c r="M490" s="200"/>
      <c r="N490" s="200"/>
      <c r="O490" s="200"/>
      <c r="P490" s="200"/>
      <c r="Q490" s="200"/>
      <c r="R490" s="200"/>
      <c r="S490" s="200"/>
      <c r="T490" s="200"/>
    </row>
    <row r="491" ht="13.5" customHeight="1">
      <c r="A491" s="200"/>
      <c r="B491" s="200"/>
      <c r="C491" s="200"/>
      <c r="D491" s="200"/>
      <c r="E491" s="200"/>
      <c r="F491" s="200"/>
      <c r="G491" s="200"/>
      <c r="H491" s="200"/>
      <c r="I491" s="200"/>
      <c r="J491" s="200"/>
      <c r="K491" s="200"/>
      <c r="L491" s="200"/>
      <c r="M491" s="200"/>
      <c r="N491" s="200"/>
      <c r="O491" s="200"/>
      <c r="P491" s="200"/>
      <c r="Q491" s="200"/>
      <c r="R491" s="200"/>
      <c r="S491" s="200"/>
      <c r="T491" s="200"/>
    </row>
    <row r="492" ht="13.5" customHeight="1">
      <c r="A492" s="200"/>
      <c r="B492" s="200"/>
      <c r="C492" s="200"/>
      <c r="D492" s="200"/>
      <c r="E492" s="200"/>
      <c r="F492" s="200"/>
      <c r="G492" s="200"/>
      <c r="H492" s="200"/>
      <c r="I492" s="200"/>
      <c r="J492" s="200"/>
      <c r="K492" s="200"/>
      <c r="L492" s="200"/>
      <c r="M492" s="200"/>
      <c r="N492" s="200"/>
      <c r="O492" s="200"/>
      <c r="P492" s="200"/>
      <c r="Q492" s="200"/>
      <c r="R492" s="200"/>
      <c r="S492" s="200"/>
      <c r="T492" s="200"/>
    </row>
    <row r="493" ht="13.5" customHeight="1">
      <c r="A493" s="200"/>
      <c r="B493" s="200"/>
      <c r="C493" s="200"/>
      <c r="D493" s="200"/>
      <c r="E493" s="200"/>
      <c r="F493" s="200"/>
      <c r="G493" s="200"/>
      <c r="H493" s="200"/>
      <c r="I493" s="200"/>
      <c r="J493" s="200"/>
      <c r="K493" s="200"/>
      <c r="L493" s="200"/>
      <c r="M493" s="200"/>
      <c r="N493" s="200"/>
      <c r="O493" s="200"/>
      <c r="P493" s="200"/>
      <c r="Q493" s="200"/>
      <c r="R493" s="200"/>
      <c r="S493" s="200"/>
      <c r="T493" s="200"/>
    </row>
    <row r="494" ht="13.5" customHeight="1">
      <c r="A494" s="200"/>
      <c r="B494" s="200"/>
      <c r="C494" s="200"/>
      <c r="D494" s="200"/>
      <c r="E494" s="200"/>
      <c r="F494" s="200"/>
      <c r="G494" s="200"/>
      <c r="H494" s="200"/>
      <c r="I494" s="200"/>
      <c r="J494" s="200"/>
      <c r="K494" s="200"/>
      <c r="L494" s="200"/>
      <c r="M494" s="200"/>
      <c r="N494" s="200"/>
      <c r="O494" s="200"/>
      <c r="P494" s="200"/>
      <c r="Q494" s="200"/>
      <c r="R494" s="200"/>
      <c r="S494" s="200"/>
      <c r="T494" s="200"/>
    </row>
    <row r="495" ht="13.5" customHeight="1">
      <c r="A495" s="200"/>
      <c r="B495" s="200"/>
      <c r="C495" s="200"/>
      <c r="D495" s="200"/>
      <c r="E495" s="200"/>
      <c r="F495" s="200"/>
      <c r="G495" s="200"/>
      <c r="H495" s="200"/>
      <c r="I495" s="200"/>
      <c r="J495" s="200"/>
      <c r="K495" s="200"/>
      <c r="L495" s="200"/>
      <c r="M495" s="200"/>
      <c r="N495" s="200"/>
      <c r="O495" s="200"/>
      <c r="P495" s="200"/>
      <c r="Q495" s="200"/>
      <c r="R495" s="200"/>
      <c r="S495" s="200"/>
      <c r="T495" s="200"/>
    </row>
    <row r="496" ht="13.5" customHeight="1">
      <c r="A496" s="200"/>
      <c r="B496" s="200"/>
      <c r="C496" s="200"/>
      <c r="D496" s="200"/>
      <c r="E496" s="200"/>
      <c r="F496" s="200"/>
      <c r="G496" s="200"/>
      <c r="H496" s="200"/>
      <c r="I496" s="200"/>
      <c r="J496" s="200"/>
      <c r="K496" s="200"/>
      <c r="L496" s="200"/>
      <c r="M496" s="200"/>
      <c r="N496" s="200"/>
      <c r="O496" s="200"/>
      <c r="P496" s="200"/>
      <c r="Q496" s="200"/>
      <c r="R496" s="200"/>
      <c r="S496" s="200"/>
      <c r="T496" s="200"/>
    </row>
    <row r="497" ht="13.5" customHeight="1">
      <c r="A497" s="200"/>
      <c r="B497" s="200"/>
      <c r="C497" s="200"/>
      <c r="D497" s="200"/>
      <c r="E497" s="200"/>
      <c r="F497" s="200"/>
      <c r="G497" s="200"/>
      <c r="H497" s="200"/>
      <c r="I497" s="200"/>
      <c r="J497" s="200"/>
      <c r="K497" s="200"/>
      <c r="L497" s="200"/>
      <c r="M497" s="200"/>
      <c r="N497" s="200"/>
      <c r="O497" s="200"/>
      <c r="P497" s="200"/>
      <c r="Q497" s="200"/>
      <c r="R497" s="200"/>
      <c r="S497" s="200"/>
      <c r="T497" s="200"/>
    </row>
    <row r="498" ht="13.5" customHeight="1">
      <c r="A498" s="200"/>
      <c r="B498" s="200"/>
      <c r="C498" s="200"/>
      <c r="D498" s="200"/>
      <c r="E498" s="200"/>
      <c r="F498" s="200"/>
      <c r="G498" s="200"/>
      <c r="H498" s="200"/>
      <c r="I498" s="200"/>
      <c r="J498" s="200"/>
      <c r="K498" s="200"/>
      <c r="L498" s="200"/>
      <c r="M498" s="200"/>
      <c r="N498" s="200"/>
      <c r="O498" s="200"/>
      <c r="P498" s="200"/>
      <c r="Q498" s="200"/>
      <c r="R498" s="200"/>
      <c r="S498" s="200"/>
      <c r="T498" s="200"/>
    </row>
    <row r="499" ht="13.5" customHeight="1">
      <c r="A499" s="200"/>
      <c r="B499" s="200"/>
      <c r="C499" s="200"/>
      <c r="D499" s="200"/>
      <c r="E499" s="200"/>
      <c r="F499" s="200"/>
      <c r="G499" s="200"/>
      <c r="H499" s="200"/>
      <c r="I499" s="200"/>
      <c r="J499" s="200"/>
      <c r="K499" s="200"/>
      <c r="L499" s="200"/>
      <c r="M499" s="200"/>
      <c r="N499" s="200"/>
      <c r="O499" s="200"/>
      <c r="P499" s="200"/>
      <c r="Q499" s="200"/>
      <c r="R499" s="200"/>
      <c r="S499" s="200"/>
      <c r="T499" s="200"/>
    </row>
    <row r="500" ht="13.5" customHeight="1">
      <c r="A500" s="200"/>
      <c r="B500" s="200"/>
      <c r="C500" s="200"/>
      <c r="D500" s="200"/>
      <c r="E500" s="200"/>
      <c r="F500" s="200"/>
      <c r="G500" s="200"/>
      <c r="H500" s="200"/>
      <c r="I500" s="200"/>
      <c r="J500" s="200"/>
      <c r="K500" s="200"/>
      <c r="L500" s="200"/>
      <c r="M500" s="200"/>
      <c r="N500" s="200"/>
      <c r="O500" s="200"/>
      <c r="P500" s="200"/>
      <c r="Q500" s="200"/>
      <c r="R500" s="200"/>
      <c r="S500" s="200"/>
      <c r="T500" s="200"/>
    </row>
    <row r="501" ht="13.5" customHeight="1">
      <c r="A501" s="200"/>
      <c r="B501" s="200"/>
      <c r="C501" s="200"/>
      <c r="D501" s="200"/>
      <c r="E501" s="200"/>
      <c r="F501" s="200"/>
      <c r="G501" s="200"/>
      <c r="H501" s="200"/>
      <c r="I501" s="200"/>
      <c r="J501" s="200"/>
      <c r="K501" s="200"/>
      <c r="L501" s="200"/>
      <c r="M501" s="200"/>
      <c r="N501" s="200"/>
      <c r="O501" s="200"/>
      <c r="P501" s="200"/>
      <c r="Q501" s="200"/>
      <c r="R501" s="200"/>
      <c r="S501" s="200"/>
      <c r="T501" s="200"/>
    </row>
    <row r="502" ht="13.5" customHeight="1">
      <c r="A502" s="200"/>
      <c r="B502" s="200"/>
      <c r="C502" s="200"/>
      <c r="D502" s="200"/>
      <c r="E502" s="200"/>
      <c r="F502" s="200"/>
      <c r="G502" s="200"/>
      <c r="H502" s="200"/>
      <c r="I502" s="200"/>
      <c r="J502" s="200"/>
      <c r="K502" s="200"/>
      <c r="L502" s="200"/>
      <c r="M502" s="200"/>
      <c r="N502" s="200"/>
      <c r="O502" s="200"/>
      <c r="P502" s="200"/>
      <c r="Q502" s="200"/>
      <c r="R502" s="200"/>
      <c r="S502" s="200"/>
      <c r="T502" s="200"/>
    </row>
    <row r="503" ht="13.5" customHeight="1">
      <c r="A503" s="200"/>
      <c r="B503" s="200"/>
      <c r="C503" s="200"/>
      <c r="D503" s="200"/>
      <c r="E503" s="200"/>
      <c r="F503" s="200"/>
      <c r="G503" s="200"/>
      <c r="H503" s="200"/>
      <c r="I503" s="200"/>
      <c r="J503" s="200"/>
      <c r="K503" s="200"/>
      <c r="L503" s="200"/>
      <c r="M503" s="200"/>
      <c r="N503" s="200"/>
      <c r="O503" s="200"/>
      <c r="P503" s="200"/>
      <c r="Q503" s="200"/>
      <c r="R503" s="200"/>
      <c r="S503" s="200"/>
      <c r="T503" s="200"/>
    </row>
    <row r="504" ht="13.5" customHeight="1">
      <c r="A504" s="200"/>
      <c r="B504" s="200"/>
      <c r="C504" s="200"/>
      <c r="D504" s="200"/>
      <c r="E504" s="200"/>
      <c r="F504" s="200"/>
      <c r="G504" s="200"/>
      <c r="H504" s="200"/>
      <c r="I504" s="200"/>
      <c r="J504" s="200"/>
      <c r="K504" s="200"/>
      <c r="L504" s="200"/>
      <c r="M504" s="200"/>
      <c r="N504" s="200"/>
      <c r="O504" s="200"/>
      <c r="P504" s="200"/>
      <c r="Q504" s="200"/>
      <c r="R504" s="200"/>
      <c r="S504" s="200"/>
      <c r="T504" s="200"/>
    </row>
    <row r="505" ht="13.5" customHeight="1">
      <c r="A505" s="200"/>
      <c r="B505" s="200"/>
      <c r="C505" s="200"/>
      <c r="D505" s="200"/>
      <c r="E505" s="200"/>
      <c r="F505" s="200"/>
      <c r="G505" s="200"/>
      <c r="H505" s="200"/>
      <c r="I505" s="200"/>
      <c r="J505" s="200"/>
      <c r="K505" s="200"/>
      <c r="L505" s="200"/>
      <c r="M505" s="200"/>
      <c r="N505" s="200"/>
      <c r="O505" s="200"/>
      <c r="P505" s="200"/>
      <c r="Q505" s="200"/>
      <c r="R505" s="200"/>
      <c r="S505" s="200"/>
      <c r="T505" s="200"/>
    </row>
    <row r="506" ht="13.5" customHeight="1">
      <c r="A506" s="200"/>
      <c r="B506" s="200"/>
      <c r="C506" s="200"/>
      <c r="D506" s="200"/>
      <c r="E506" s="200"/>
      <c r="F506" s="200"/>
      <c r="G506" s="200"/>
      <c r="H506" s="200"/>
      <c r="I506" s="200"/>
      <c r="J506" s="200"/>
      <c r="K506" s="200"/>
      <c r="L506" s="200"/>
      <c r="M506" s="200"/>
      <c r="N506" s="200"/>
      <c r="O506" s="200"/>
      <c r="P506" s="200"/>
      <c r="Q506" s="200"/>
      <c r="R506" s="200"/>
      <c r="S506" s="200"/>
      <c r="T506" s="200"/>
    </row>
    <row r="507" ht="13.5" customHeight="1">
      <c r="A507" s="200"/>
      <c r="B507" s="200"/>
      <c r="C507" s="200"/>
      <c r="D507" s="200"/>
      <c r="E507" s="200"/>
      <c r="F507" s="200"/>
      <c r="G507" s="200"/>
      <c r="H507" s="200"/>
      <c r="I507" s="200"/>
      <c r="J507" s="200"/>
      <c r="K507" s="200"/>
      <c r="L507" s="200"/>
      <c r="M507" s="200"/>
      <c r="N507" s="200"/>
      <c r="O507" s="200"/>
      <c r="P507" s="200"/>
      <c r="Q507" s="200"/>
      <c r="R507" s="200"/>
      <c r="S507" s="200"/>
      <c r="T507" s="200"/>
    </row>
    <row r="508" ht="13.5" customHeight="1">
      <c r="A508" s="200"/>
      <c r="B508" s="200"/>
      <c r="C508" s="200"/>
      <c r="D508" s="200"/>
      <c r="E508" s="200"/>
      <c r="F508" s="200"/>
      <c r="G508" s="200"/>
      <c r="H508" s="200"/>
      <c r="I508" s="200"/>
      <c r="J508" s="200"/>
      <c r="K508" s="200"/>
      <c r="L508" s="200"/>
      <c r="M508" s="200"/>
      <c r="N508" s="200"/>
      <c r="O508" s="200"/>
      <c r="P508" s="200"/>
      <c r="Q508" s="200"/>
      <c r="R508" s="200"/>
      <c r="S508" s="200"/>
      <c r="T508" s="200"/>
    </row>
    <row r="509" ht="13.5" customHeight="1">
      <c r="A509" s="200"/>
      <c r="B509" s="200"/>
      <c r="C509" s="200"/>
      <c r="D509" s="200"/>
      <c r="E509" s="200"/>
      <c r="F509" s="200"/>
      <c r="G509" s="200"/>
      <c r="H509" s="200"/>
      <c r="I509" s="200"/>
      <c r="J509" s="200"/>
      <c r="K509" s="200"/>
      <c r="L509" s="200"/>
      <c r="M509" s="200"/>
      <c r="N509" s="200"/>
      <c r="O509" s="200"/>
      <c r="P509" s="200"/>
      <c r="Q509" s="200"/>
      <c r="R509" s="200"/>
      <c r="S509" s="200"/>
      <c r="T509" s="200"/>
    </row>
    <row r="510" ht="13.5" customHeight="1">
      <c r="A510" s="200"/>
      <c r="B510" s="200"/>
      <c r="C510" s="200"/>
      <c r="D510" s="200"/>
      <c r="E510" s="200"/>
      <c r="F510" s="200"/>
      <c r="G510" s="200"/>
      <c r="H510" s="200"/>
      <c r="I510" s="200"/>
      <c r="J510" s="200"/>
      <c r="K510" s="200"/>
      <c r="L510" s="200"/>
      <c r="M510" s="200"/>
      <c r="N510" s="200"/>
      <c r="O510" s="200"/>
      <c r="P510" s="200"/>
      <c r="Q510" s="200"/>
      <c r="R510" s="200"/>
      <c r="S510" s="200"/>
      <c r="T510" s="200"/>
    </row>
    <row r="511" ht="13.5" customHeight="1">
      <c r="A511" s="200"/>
      <c r="B511" s="200"/>
      <c r="C511" s="200"/>
      <c r="D511" s="200"/>
      <c r="E511" s="200"/>
      <c r="F511" s="200"/>
      <c r="G511" s="200"/>
      <c r="H511" s="200"/>
      <c r="I511" s="200"/>
      <c r="J511" s="200"/>
      <c r="K511" s="200"/>
      <c r="L511" s="200"/>
      <c r="M511" s="200"/>
      <c r="N511" s="200"/>
      <c r="O511" s="200"/>
      <c r="P511" s="200"/>
      <c r="Q511" s="200"/>
      <c r="R511" s="200"/>
      <c r="S511" s="200"/>
      <c r="T511" s="200"/>
    </row>
    <row r="512" ht="13.5" customHeight="1">
      <c r="A512" s="200"/>
      <c r="B512" s="200"/>
      <c r="C512" s="200"/>
      <c r="D512" s="200"/>
      <c r="E512" s="200"/>
      <c r="F512" s="200"/>
      <c r="G512" s="200"/>
      <c r="H512" s="200"/>
      <c r="I512" s="200"/>
      <c r="J512" s="200"/>
      <c r="K512" s="200"/>
      <c r="L512" s="200"/>
      <c r="M512" s="200"/>
      <c r="N512" s="200"/>
      <c r="O512" s="200"/>
      <c r="P512" s="200"/>
      <c r="Q512" s="200"/>
      <c r="R512" s="200"/>
      <c r="S512" s="200"/>
      <c r="T512" s="200"/>
    </row>
    <row r="513" ht="13.5" customHeight="1">
      <c r="A513" s="200"/>
      <c r="B513" s="200"/>
      <c r="C513" s="200"/>
      <c r="D513" s="200"/>
      <c r="E513" s="200"/>
      <c r="F513" s="200"/>
      <c r="G513" s="200"/>
      <c r="H513" s="200"/>
      <c r="I513" s="200"/>
      <c r="J513" s="200"/>
      <c r="K513" s="200"/>
      <c r="L513" s="200"/>
      <c r="M513" s="200"/>
      <c r="N513" s="200"/>
      <c r="O513" s="200"/>
      <c r="P513" s="200"/>
      <c r="Q513" s="200"/>
      <c r="R513" s="200"/>
      <c r="S513" s="200"/>
      <c r="T513" s="200"/>
    </row>
    <row r="514" ht="13.5" customHeight="1">
      <c r="A514" s="200"/>
      <c r="B514" s="200"/>
      <c r="C514" s="200"/>
      <c r="D514" s="200"/>
      <c r="E514" s="200"/>
      <c r="F514" s="200"/>
      <c r="G514" s="200"/>
      <c r="H514" s="200"/>
      <c r="I514" s="200"/>
      <c r="J514" s="200"/>
      <c r="K514" s="200"/>
      <c r="L514" s="200"/>
      <c r="M514" s="200"/>
      <c r="N514" s="200"/>
      <c r="O514" s="200"/>
      <c r="P514" s="200"/>
      <c r="Q514" s="200"/>
      <c r="R514" s="200"/>
      <c r="S514" s="200"/>
      <c r="T514" s="200"/>
    </row>
    <row r="515" ht="13.5" customHeight="1">
      <c r="A515" s="200"/>
      <c r="B515" s="200"/>
      <c r="C515" s="200"/>
      <c r="D515" s="200"/>
      <c r="E515" s="200"/>
      <c r="F515" s="200"/>
      <c r="G515" s="200"/>
      <c r="H515" s="200"/>
      <c r="I515" s="200"/>
      <c r="J515" s="200"/>
      <c r="K515" s="200"/>
      <c r="L515" s="200"/>
      <c r="M515" s="200"/>
      <c r="N515" s="200"/>
      <c r="O515" s="200"/>
      <c r="P515" s="200"/>
      <c r="Q515" s="200"/>
      <c r="R515" s="200"/>
      <c r="S515" s="200"/>
      <c r="T515" s="200"/>
    </row>
    <row r="516" ht="13.5" customHeight="1">
      <c r="A516" s="200"/>
      <c r="B516" s="200"/>
      <c r="C516" s="200"/>
      <c r="D516" s="200"/>
      <c r="E516" s="200"/>
      <c r="F516" s="200"/>
      <c r="G516" s="200"/>
      <c r="H516" s="200"/>
      <c r="I516" s="200"/>
      <c r="J516" s="200"/>
      <c r="K516" s="200"/>
      <c r="L516" s="200"/>
      <c r="M516" s="200"/>
      <c r="N516" s="200"/>
      <c r="O516" s="200"/>
      <c r="P516" s="200"/>
      <c r="Q516" s="200"/>
      <c r="R516" s="200"/>
      <c r="S516" s="200"/>
      <c r="T516" s="200"/>
    </row>
    <row r="517" ht="13.5" customHeight="1">
      <c r="A517" s="200"/>
      <c r="B517" s="200"/>
      <c r="C517" s="200"/>
      <c r="D517" s="200"/>
      <c r="E517" s="200"/>
      <c r="F517" s="200"/>
      <c r="G517" s="200"/>
      <c r="H517" s="200"/>
      <c r="I517" s="200"/>
      <c r="J517" s="200"/>
      <c r="K517" s="200"/>
      <c r="L517" s="200"/>
      <c r="M517" s="200"/>
      <c r="N517" s="200"/>
      <c r="O517" s="200"/>
      <c r="P517" s="200"/>
      <c r="Q517" s="200"/>
      <c r="R517" s="200"/>
      <c r="S517" s="200"/>
      <c r="T517" s="200"/>
    </row>
    <row r="518" ht="13.5" customHeight="1">
      <c r="A518" s="200"/>
      <c r="B518" s="200"/>
      <c r="C518" s="200"/>
      <c r="D518" s="200"/>
      <c r="E518" s="200"/>
      <c r="F518" s="200"/>
      <c r="G518" s="200"/>
      <c r="H518" s="200"/>
      <c r="I518" s="200"/>
      <c r="J518" s="200"/>
      <c r="K518" s="200"/>
      <c r="L518" s="200"/>
      <c r="M518" s="200"/>
      <c r="N518" s="200"/>
      <c r="O518" s="200"/>
      <c r="P518" s="200"/>
      <c r="Q518" s="200"/>
      <c r="R518" s="200"/>
      <c r="S518" s="200"/>
      <c r="T518" s="200"/>
    </row>
    <row r="519" ht="13.5" customHeight="1">
      <c r="A519" s="200"/>
      <c r="B519" s="200"/>
      <c r="C519" s="200"/>
      <c r="D519" s="200"/>
      <c r="E519" s="200"/>
      <c r="F519" s="200"/>
      <c r="G519" s="200"/>
      <c r="H519" s="200"/>
      <c r="I519" s="200"/>
      <c r="J519" s="200"/>
      <c r="K519" s="200"/>
      <c r="L519" s="200"/>
      <c r="M519" s="200"/>
      <c r="N519" s="200"/>
      <c r="O519" s="200"/>
      <c r="P519" s="200"/>
      <c r="Q519" s="200"/>
      <c r="R519" s="200"/>
      <c r="S519" s="200"/>
      <c r="T519" s="200"/>
    </row>
    <row r="520" ht="13.5" customHeight="1">
      <c r="A520" s="200"/>
      <c r="B520" s="200"/>
      <c r="C520" s="200"/>
      <c r="D520" s="200"/>
      <c r="E520" s="200"/>
      <c r="F520" s="200"/>
      <c r="G520" s="200"/>
      <c r="H520" s="200"/>
      <c r="I520" s="200"/>
      <c r="J520" s="200"/>
      <c r="K520" s="200"/>
      <c r="L520" s="200"/>
      <c r="M520" s="200"/>
      <c r="N520" s="200"/>
      <c r="O520" s="200"/>
      <c r="P520" s="200"/>
      <c r="Q520" s="200"/>
      <c r="R520" s="200"/>
      <c r="S520" s="200"/>
      <c r="T520" s="200"/>
    </row>
    <row r="521" ht="13.5" customHeight="1">
      <c r="A521" s="200"/>
      <c r="B521" s="200"/>
      <c r="C521" s="200"/>
      <c r="D521" s="200"/>
      <c r="E521" s="200"/>
      <c r="F521" s="200"/>
      <c r="G521" s="200"/>
      <c r="H521" s="200"/>
      <c r="I521" s="200"/>
      <c r="J521" s="200"/>
      <c r="K521" s="200"/>
      <c r="L521" s="200"/>
      <c r="M521" s="200"/>
      <c r="N521" s="200"/>
      <c r="O521" s="200"/>
      <c r="P521" s="200"/>
      <c r="Q521" s="200"/>
      <c r="R521" s="200"/>
      <c r="S521" s="200"/>
      <c r="T521" s="200"/>
    </row>
    <row r="522" ht="13.5" customHeight="1">
      <c r="A522" s="200"/>
      <c r="B522" s="200"/>
      <c r="C522" s="200"/>
      <c r="D522" s="200"/>
      <c r="E522" s="200"/>
      <c r="F522" s="200"/>
      <c r="G522" s="200"/>
      <c r="H522" s="200"/>
      <c r="I522" s="200"/>
      <c r="J522" s="200"/>
      <c r="K522" s="200"/>
      <c r="L522" s="200"/>
      <c r="M522" s="200"/>
      <c r="N522" s="200"/>
      <c r="O522" s="200"/>
      <c r="P522" s="200"/>
      <c r="Q522" s="200"/>
      <c r="R522" s="200"/>
      <c r="S522" s="200"/>
      <c r="T522" s="200"/>
    </row>
    <row r="523" ht="13.5" customHeight="1">
      <c r="A523" s="200"/>
      <c r="B523" s="200"/>
      <c r="C523" s="200"/>
      <c r="D523" s="200"/>
      <c r="E523" s="200"/>
      <c r="F523" s="200"/>
      <c r="G523" s="200"/>
      <c r="H523" s="200"/>
      <c r="I523" s="200"/>
      <c r="J523" s="200"/>
      <c r="K523" s="200"/>
      <c r="L523" s="200"/>
      <c r="M523" s="200"/>
      <c r="N523" s="200"/>
      <c r="O523" s="200"/>
      <c r="P523" s="200"/>
      <c r="Q523" s="200"/>
      <c r="R523" s="200"/>
      <c r="S523" s="200"/>
      <c r="T523" s="200"/>
    </row>
    <row r="524" ht="13.5" customHeight="1">
      <c r="A524" s="200"/>
      <c r="B524" s="200"/>
      <c r="C524" s="200"/>
      <c r="D524" s="200"/>
      <c r="E524" s="200"/>
      <c r="F524" s="200"/>
      <c r="G524" s="200"/>
      <c r="H524" s="200"/>
      <c r="I524" s="200"/>
      <c r="J524" s="200"/>
      <c r="K524" s="200"/>
      <c r="L524" s="200"/>
      <c r="M524" s="200"/>
      <c r="N524" s="200"/>
      <c r="O524" s="200"/>
      <c r="P524" s="200"/>
      <c r="Q524" s="200"/>
      <c r="R524" s="200"/>
      <c r="S524" s="200"/>
      <c r="T524" s="200"/>
    </row>
    <row r="525" ht="13.5" customHeight="1">
      <c r="A525" s="200"/>
      <c r="B525" s="200"/>
      <c r="C525" s="200"/>
      <c r="D525" s="200"/>
      <c r="E525" s="200"/>
      <c r="F525" s="200"/>
      <c r="G525" s="200"/>
      <c r="H525" s="200"/>
      <c r="I525" s="200"/>
      <c r="J525" s="200"/>
      <c r="K525" s="200"/>
      <c r="L525" s="200"/>
      <c r="M525" s="200"/>
      <c r="N525" s="200"/>
      <c r="O525" s="200"/>
      <c r="P525" s="200"/>
      <c r="Q525" s="200"/>
      <c r="R525" s="200"/>
      <c r="S525" s="200"/>
      <c r="T525" s="200"/>
    </row>
    <row r="526" ht="13.5" customHeight="1">
      <c r="A526" s="200"/>
      <c r="B526" s="200"/>
      <c r="C526" s="200"/>
      <c r="D526" s="200"/>
      <c r="E526" s="200"/>
      <c r="F526" s="200"/>
      <c r="G526" s="200"/>
      <c r="H526" s="200"/>
      <c r="I526" s="200"/>
      <c r="J526" s="200"/>
      <c r="K526" s="200"/>
      <c r="L526" s="200"/>
      <c r="M526" s="200"/>
      <c r="N526" s="200"/>
      <c r="O526" s="200"/>
      <c r="P526" s="200"/>
      <c r="Q526" s="200"/>
      <c r="R526" s="200"/>
      <c r="S526" s="200"/>
      <c r="T526" s="200"/>
    </row>
    <row r="527" ht="13.5" customHeight="1">
      <c r="A527" s="200"/>
      <c r="B527" s="200"/>
      <c r="C527" s="200"/>
      <c r="D527" s="200"/>
      <c r="E527" s="200"/>
      <c r="F527" s="200"/>
      <c r="G527" s="200"/>
      <c r="H527" s="200"/>
      <c r="I527" s="200"/>
      <c r="J527" s="200"/>
      <c r="K527" s="200"/>
      <c r="L527" s="200"/>
      <c r="M527" s="200"/>
      <c r="N527" s="200"/>
      <c r="O527" s="200"/>
      <c r="P527" s="200"/>
      <c r="Q527" s="200"/>
      <c r="R527" s="200"/>
      <c r="S527" s="200"/>
      <c r="T527" s="200"/>
    </row>
    <row r="528" ht="13.5" customHeight="1">
      <c r="A528" s="200"/>
      <c r="B528" s="200"/>
      <c r="C528" s="200"/>
      <c r="D528" s="200"/>
      <c r="E528" s="200"/>
      <c r="F528" s="200"/>
      <c r="G528" s="200"/>
      <c r="H528" s="200"/>
      <c r="I528" s="200"/>
      <c r="J528" s="200"/>
      <c r="K528" s="200"/>
      <c r="L528" s="200"/>
      <c r="M528" s="200"/>
      <c r="N528" s="200"/>
      <c r="O528" s="200"/>
      <c r="P528" s="200"/>
      <c r="Q528" s="200"/>
      <c r="R528" s="200"/>
      <c r="S528" s="200"/>
      <c r="T528" s="200"/>
    </row>
    <row r="529" ht="13.5" customHeight="1">
      <c r="A529" s="200"/>
      <c r="B529" s="200"/>
      <c r="C529" s="200"/>
      <c r="D529" s="200"/>
      <c r="E529" s="200"/>
      <c r="F529" s="200"/>
      <c r="G529" s="200"/>
      <c r="H529" s="200"/>
      <c r="I529" s="200"/>
      <c r="J529" s="200"/>
      <c r="K529" s="200"/>
      <c r="L529" s="200"/>
      <c r="M529" s="200"/>
      <c r="N529" s="200"/>
      <c r="O529" s="200"/>
      <c r="P529" s="200"/>
      <c r="Q529" s="200"/>
      <c r="R529" s="200"/>
      <c r="S529" s="200"/>
      <c r="T529" s="200"/>
    </row>
    <row r="530" ht="13.5" customHeight="1">
      <c r="A530" s="200"/>
      <c r="B530" s="200"/>
      <c r="C530" s="200"/>
      <c r="D530" s="200"/>
      <c r="E530" s="200"/>
      <c r="F530" s="200"/>
      <c r="G530" s="200"/>
      <c r="H530" s="200"/>
      <c r="I530" s="200"/>
      <c r="J530" s="200"/>
      <c r="K530" s="200"/>
      <c r="L530" s="200"/>
      <c r="M530" s="200"/>
      <c r="N530" s="200"/>
      <c r="O530" s="200"/>
      <c r="P530" s="200"/>
      <c r="Q530" s="200"/>
      <c r="R530" s="200"/>
      <c r="S530" s="200"/>
      <c r="T530" s="200"/>
    </row>
    <row r="531" ht="13.5" customHeight="1">
      <c r="A531" s="200"/>
      <c r="B531" s="200"/>
      <c r="C531" s="200"/>
      <c r="D531" s="200"/>
      <c r="E531" s="200"/>
      <c r="F531" s="200"/>
      <c r="G531" s="200"/>
      <c r="H531" s="200"/>
      <c r="I531" s="200"/>
      <c r="J531" s="200"/>
      <c r="K531" s="200"/>
      <c r="L531" s="200"/>
      <c r="M531" s="200"/>
      <c r="N531" s="200"/>
      <c r="O531" s="200"/>
      <c r="P531" s="200"/>
      <c r="Q531" s="200"/>
      <c r="R531" s="200"/>
      <c r="S531" s="200"/>
      <c r="T531" s="200"/>
    </row>
    <row r="532" ht="13.5" customHeight="1">
      <c r="A532" s="200"/>
      <c r="B532" s="200"/>
      <c r="C532" s="200"/>
      <c r="D532" s="200"/>
      <c r="E532" s="200"/>
      <c r="F532" s="200"/>
      <c r="G532" s="200"/>
      <c r="H532" s="200"/>
      <c r="I532" s="200"/>
      <c r="J532" s="200"/>
      <c r="K532" s="200"/>
      <c r="L532" s="200"/>
      <c r="M532" s="200"/>
      <c r="N532" s="200"/>
      <c r="O532" s="200"/>
      <c r="P532" s="200"/>
      <c r="Q532" s="200"/>
      <c r="R532" s="200"/>
      <c r="S532" s="200"/>
      <c r="T532" s="200"/>
    </row>
    <row r="533" ht="13.5" customHeight="1">
      <c r="A533" s="200"/>
      <c r="B533" s="200"/>
      <c r="C533" s="200"/>
      <c r="D533" s="200"/>
      <c r="E533" s="200"/>
      <c r="F533" s="200"/>
      <c r="G533" s="200"/>
      <c r="H533" s="200"/>
      <c r="I533" s="200"/>
      <c r="J533" s="200"/>
      <c r="K533" s="200"/>
      <c r="L533" s="200"/>
      <c r="M533" s="200"/>
      <c r="N533" s="200"/>
      <c r="O533" s="200"/>
      <c r="P533" s="200"/>
      <c r="Q533" s="200"/>
      <c r="R533" s="200"/>
      <c r="S533" s="200"/>
      <c r="T533" s="200"/>
    </row>
    <row r="534" ht="13.5" customHeight="1">
      <c r="A534" s="200"/>
      <c r="B534" s="200"/>
      <c r="C534" s="200"/>
      <c r="D534" s="200"/>
      <c r="E534" s="200"/>
      <c r="F534" s="200"/>
      <c r="G534" s="200"/>
      <c r="H534" s="200"/>
      <c r="I534" s="200"/>
      <c r="J534" s="200"/>
      <c r="K534" s="200"/>
      <c r="L534" s="200"/>
      <c r="M534" s="200"/>
      <c r="N534" s="200"/>
      <c r="O534" s="200"/>
      <c r="P534" s="200"/>
      <c r="Q534" s="200"/>
      <c r="R534" s="200"/>
      <c r="S534" s="200"/>
      <c r="T534" s="200"/>
    </row>
    <row r="535" ht="13.5" customHeight="1">
      <c r="A535" s="200"/>
      <c r="B535" s="200"/>
      <c r="C535" s="200"/>
      <c r="D535" s="200"/>
      <c r="E535" s="200"/>
      <c r="F535" s="200"/>
      <c r="G535" s="200"/>
      <c r="H535" s="200"/>
      <c r="I535" s="200"/>
      <c r="J535" s="200"/>
      <c r="K535" s="200"/>
      <c r="L535" s="200"/>
      <c r="M535" s="200"/>
      <c r="N535" s="200"/>
      <c r="O535" s="200"/>
      <c r="P535" s="200"/>
      <c r="Q535" s="200"/>
      <c r="R535" s="200"/>
      <c r="S535" s="200"/>
      <c r="T535" s="200"/>
    </row>
    <row r="536" ht="13.5" customHeight="1">
      <c r="A536" s="200"/>
      <c r="B536" s="200"/>
      <c r="C536" s="200"/>
      <c r="D536" s="200"/>
      <c r="E536" s="200"/>
      <c r="F536" s="200"/>
      <c r="G536" s="200"/>
      <c r="H536" s="200"/>
      <c r="I536" s="200"/>
      <c r="J536" s="200"/>
      <c r="K536" s="200"/>
      <c r="L536" s="200"/>
      <c r="M536" s="200"/>
      <c r="N536" s="200"/>
      <c r="O536" s="200"/>
      <c r="P536" s="200"/>
      <c r="Q536" s="200"/>
      <c r="R536" s="200"/>
      <c r="S536" s="200"/>
      <c r="T536" s="200"/>
    </row>
    <row r="537" ht="13.5" customHeight="1">
      <c r="A537" s="200"/>
      <c r="B537" s="200"/>
      <c r="C537" s="200"/>
      <c r="D537" s="200"/>
      <c r="E537" s="200"/>
      <c r="F537" s="200"/>
      <c r="G537" s="200"/>
      <c r="H537" s="200"/>
      <c r="I537" s="200"/>
      <c r="J537" s="200"/>
      <c r="K537" s="200"/>
      <c r="L537" s="200"/>
      <c r="M537" s="200"/>
      <c r="N537" s="200"/>
      <c r="O537" s="200"/>
      <c r="P537" s="200"/>
      <c r="Q537" s="200"/>
      <c r="R537" s="200"/>
      <c r="S537" s="200"/>
      <c r="T537" s="200"/>
    </row>
    <row r="538" ht="13.5" customHeight="1">
      <c r="A538" s="200"/>
      <c r="B538" s="200"/>
      <c r="C538" s="200"/>
      <c r="D538" s="200"/>
      <c r="E538" s="200"/>
      <c r="F538" s="200"/>
      <c r="G538" s="200"/>
      <c r="H538" s="200"/>
      <c r="I538" s="200"/>
      <c r="J538" s="200"/>
      <c r="K538" s="200"/>
      <c r="L538" s="200"/>
      <c r="M538" s="200"/>
      <c r="N538" s="200"/>
      <c r="O538" s="200"/>
      <c r="P538" s="200"/>
      <c r="Q538" s="200"/>
      <c r="R538" s="200"/>
      <c r="S538" s="200"/>
      <c r="T538" s="200"/>
    </row>
    <row r="539" ht="13.5" customHeight="1">
      <c r="A539" s="200"/>
      <c r="B539" s="200"/>
      <c r="C539" s="200"/>
      <c r="D539" s="200"/>
      <c r="E539" s="200"/>
      <c r="F539" s="200"/>
      <c r="G539" s="200"/>
      <c r="H539" s="200"/>
      <c r="I539" s="200"/>
      <c r="J539" s="200"/>
      <c r="K539" s="200"/>
      <c r="L539" s="200"/>
      <c r="M539" s="200"/>
      <c r="N539" s="200"/>
      <c r="O539" s="200"/>
      <c r="P539" s="200"/>
      <c r="Q539" s="200"/>
      <c r="R539" s="200"/>
      <c r="S539" s="200"/>
      <c r="T539" s="200"/>
    </row>
    <row r="540" ht="13.5" customHeight="1">
      <c r="A540" s="200"/>
      <c r="B540" s="200"/>
      <c r="C540" s="200"/>
      <c r="D540" s="200"/>
      <c r="E540" s="200"/>
      <c r="F540" s="200"/>
      <c r="G540" s="200"/>
      <c r="H540" s="200"/>
      <c r="I540" s="200"/>
      <c r="J540" s="200"/>
      <c r="K540" s="200"/>
      <c r="L540" s="200"/>
      <c r="M540" s="200"/>
      <c r="N540" s="200"/>
      <c r="O540" s="200"/>
      <c r="P540" s="200"/>
      <c r="Q540" s="200"/>
      <c r="R540" s="200"/>
      <c r="S540" s="200"/>
      <c r="T540" s="200"/>
    </row>
    <row r="541" ht="13.5" customHeight="1">
      <c r="A541" s="200"/>
      <c r="B541" s="200"/>
      <c r="C541" s="200"/>
      <c r="D541" s="200"/>
      <c r="E541" s="200"/>
      <c r="F541" s="200"/>
      <c r="G541" s="200"/>
      <c r="H541" s="200"/>
      <c r="I541" s="200"/>
      <c r="J541" s="200"/>
      <c r="K541" s="200"/>
      <c r="L541" s="200"/>
      <c r="M541" s="200"/>
      <c r="N541" s="200"/>
      <c r="O541" s="200"/>
      <c r="P541" s="200"/>
      <c r="Q541" s="200"/>
      <c r="R541" s="200"/>
      <c r="S541" s="200"/>
      <c r="T541" s="200"/>
    </row>
    <row r="542" ht="13.5" customHeight="1">
      <c r="A542" s="200"/>
      <c r="B542" s="200"/>
      <c r="C542" s="200"/>
      <c r="D542" s="200"/>
      <c r="E542" s="200"/>
      <c r="F542" s="200"/>
      <c r="G542" s="200"/>
      <c r="H542" s="200"/>
      <c r="I542" s="200"/>
      <c r="J542" s="200"/>
      <c r="K542" s="200"/>
      <c r="L542" s="200"/>
      <c r="M542" s="200"/>
      <c r="N542" s="200"/>
      <c r="O542" s="200"/>
      <c r="P542" s="200"/>
      <c r="Q542" s="200"/>
      <c r="R542" s="200"/>
      <c r="S542" s="200"/>
      <c r="T542" s="200"/>
    </row>
    <row r="543" ht="13.5" customHeight="1">
      <c r="A543" s="200"/>
      <c r="B543" s="200"/>
      <c r="C543" s="200"/>
      <c r="D543" s="200"/>
      <c r="E543" s="200"/>
      <c r="F543" s="200"/>
      <c r="G543" s="200"/>
      <c r="H543" s="200"/>
      <c r="I543" s="200"/>
      <c r="J543" s="200"/>
      <c r="K543" s="200"/>
      <c r="L543" s="200"/>
      <c r="M543" s="200"/>
      <c r="N543" s="200"/>
      <c r="O543" s="200"/>
      <c r="P543" s="200"/>
      <c r="Q543" s="200"/>
      <c r="R543" s="200"/>
      <c r="S543" s="200"/>
      <c r="T543" s="200"/>
    </row>
    <row r="544" ht="13.5" customHeight="1">
      <c r="A544" s="200"/>
      <c r="B544" s="200"/>
      <c r="C544" s="200"/>
      <c r="D544" s="200"/>
      <c r="E544" s="200"/>
      <c r="F544" s="200"/>
      <c r="G544" s="200"/>
      <c r="H544" s="200"/>
      <c r="I544" s="200"/>
      <c r="J544" s="200"/>
      <c r="K544" s="200"/>
      <c r="L544" s="200"/>
      <c r="M544" s="200"/>
      <c r="N544" s="200"/>
      <c r="O544" s="200"/>
      <c r="P544" s="200"/>
      <c r="Q544" s="200"/>
      <c r="R544" s="200"/>
      <c r="S544" s="200"/>
      <c r="T544" s="200"/>
    </row>
    <row r="545" ht="13.5" customHeight="1">
      <c r="A545" s="200"/>
      <c r="B545" s="200"/>
      <c r="C545" s="200"/>
      <c r="D545" s="200"/>
      <c r="E545" s="200"/>
      <c r="F545" s="200"/>
      <c r="G545" s="200"/>
      <c r="H545" s="200"/>
      <c r="I545" s="200"/>
      <c r="J545" s="200"/>
      <c r="K545" s="200"/>
      <c r="L545" s="200"/>
      <c r="M545" s="200"/>
      <c r="N545" s="200"/>
      <c r="O545" s="200"/>
      <c r="P545" s="200"/>
      <c r="Q545" s="200"/>
      <c r="R545" s="200"/>
      <c r="S545" s="200"/>
      <c r="T545" s="200"/>
    </row>
    <row r="546" ht="13.5" customHeight="1">
      <c r="A546" s="200"/>
      <c r="B546" s="200"/>
      <c r="C546" s="200"/>
      <c r="D546" s="200"/>
      <c r="E546" s="200"/>
      <c r="F546" s="200"/>
      <c r="G546" s="200"/>
      <c r="H546" s="200"/>
      <c r="I546" s="200"/>
      <c r="J546" s="200"/>
      <c r="K546" s="200"/>
      <c r="L546" s="200"/>
      <c r="M546" s="200"/>
      <c r="N546" s="200"/>
      <c r="O546" s="200"/>
      <c r="P546" s="200"/>
      <c r="Q546" s="200"/>
      <c r="R546" s="200"/>
      <c r="S546" s="200"/>
      <c r="T546" s="200"/>
    </row>
    <row r="547" ht="13.5" customHeight="1">
      <c r="A547" s="200"/>
      <c r="B547" s="200"/>
      <c r="C547" s="200"/>
      <c r="D547" s="200"/>
      <c r="E547" s="200"/>
      <c r="F547" s="200"/>
      <c r="G547" s="200"/>
      <c r="H547" s="200"/>
      <c r="I547" s="200"/>
      <c r="J547" s="200"/>
      <c r="K547" s="200"/>
      <c r="L547" s="200"/>
      <c r="M547" s="200"/>
      <c r="N547" s="200"/>
      <c r="O547" s="200"/>
      <c r="P547" s="200"/>
      <c r="Q547" s="200"/>
      <c r="R547" s="200"/>
      <c r="S547" s="200"/>
      <c r="T547" s="200"/>
    </row>
    <row r="548" ht="13.5" customHeight="1">
      <c r="A548" s="200"/>
      <c r="B548" s="200"/>
      <c r="C548" s="200"/>
      <c r="D548" s="200"/>
      <c r="E548" s="200"/>
      <c r="F548" s="200"/>
      <c r="G548" s="200"/>
      <c r="H548" s="200"/>
      <c r="I548" s="200"/>
      <c r="J548" s="200"/>
      <c r="K548" s="200"/>
      <c r="L548" s="200"/>
      <c r="M548" s="200"/>
      <c r="N548" s="200"/>
      <c r="O548" s="200"/>
      <c r="P548" s="200"/>
      <c r="Q548" s="200"/>
      <c r="R548" s="200"/>
      <c r="S548" s="200"/>
      <c r="T548" s="200"/>
    </row>
    <row r="549" ht="13.5" customHeight="1">
      <c r="A549" s="200"/>
      <c r="B549" s="200"/>
      <c r="C549" s="200"/>
      <c r="D549" s="200"/>
      <c r="E549" s="200"/>
      <c r="F549" s="200"/>
      <c r="G549" s="200"/>
      <c r="H549" s="200"/>
      <c r="I549" s="200"/>
      <c r="J549" s="200"/>
      <c r="K549" s="200"/>
      <c r="L549" s="200"/>
      <c r="M549" s="200"/>
      <c r="N549" s="200"/>
      <c r="O549" s="200"/>
      <c r="P549" s="200"/>
      <c r="Q549" s="200"/>
      <c r="R549" s="200"/>
      <c r="S549" s="200"/>
      <c r="T549" s="200"/>
    </row>
    <row r="550" ht="13.5" customHeight="1">
      <c r="A550" s="200"/>
      <c r="B550" s="200"/>
      <c r="C550" s="200"/>
      <c r="D550" s="200"/>
      <c r="E550" s="200"/>
      <c r="F550" s="200"/>
      <c r="G550" s="200"/>
      <c r="H550" s="200"/>
      <c r="I550" s="200"/>
      <c r="J550" s="200"/>
      <c r="K550" s="200"/>
      <c r="L550" s="200"/>
      <c r="M550" s="200"/>
      <c r="N550" s="200"/>
      <c r="O550" s="200"/>
      <c r="P550" s="200"/>
      <c r="Q550" s="200"/>
      <c r="R550" s="200"/>
      <c r="S550" s="200"/>
      <c r="T550" s="200"/>
    </row>
    <row r="551" ht="13.5" customHeight="1">
      <c r="A551" s="200"/>
      <c r="B551" s="200"/>
      <c r="C551" s="200"/>
      <c r="D551" s="200"/>
      <c r="E551" s="200"/>
      <c r="F551" s="200"/>
      <c r="G551" s="200"/>
      <c r="H551" s="200"/>
      <c r="I551" s="200"/>
      <c r="J551" s="200"/>
      <c r="K551" s="200"/>
      <c r="L551" s="200"/>
      <c r="M551" s="200"/>
      <c r="N551" s="200"/>
      <c r="O551" s="200"/>
      <c r="P551" s="200"/>
      <c r="Q551" s="200"/>
      <c r="R551" s="200"/>
      <c r="S551" s="200"/>
      <c r="T551" s="200"/>
    </row>
    <row r="552" ht="13.5" customHeight="1">
      <c r="A552" s="200"/>
      <c r="B552" s="200"/>
      <c r="C552" s="200"/>
      <c r="D552" s="200"/>
      <c r="E552" s="200"/>
      <c r="F552" s="200"/>
      <c r="G552" s="200"/>
      <c r="H552" s="200"/>
      <c r="I552" s="200"/>
      <c r="J552" s="200"/>
      <c r="K552" s="200"/>
      <c r="L552" s="200"/>
      <c r="M552" s="200"/>
      <c r="N552" s="200"/>
      <c r="O552" s="200"/>
      <c r="P552" s="200"/>
      <c r="Q552" s="200"/>
      <c r="R552" s="200"/>
      <c r="S552" s="200"/>
      <c r="T552" s="200"/>
    </row>
    <row r="553" ht="13.5" customHeight="1">
      <c r="A553" s="200"/>
      <c r="B553" s="200"/>
      <c r="C553" s="200"/>
      <c r="D553" s="200"/>
      <c r="E553" s="200"/>
      <c r="F553" s="200"/>
      <c r="G553" s="200"/>
      <c r="H553" s="200"/>
      <c r="I553" s="200"/>
      <c r="J553" s="200"/>
      <c r="K553" s="200"/>
      <c r="L553" s="200"/>
      <c r="M553" s="200"/>
      <c r="N553" s="200"/>
      <c r="O553" s="200"/>
      <c r="P553" s="200"/>
      <c r="Q553" s="200"/>
      <c r="R553" s="200"/>
      <c r="S553" s="200"/>
      <c r="T553" s="200"/>
    </row>
    <row r="554" ht="13.5" customHeight="1">
      <c r="A554" s="200"/>
      <c r="B554" s="200"/>
      <c r="C554" s="200"/>
      <c r="D554" s="200"/>
      <c r="E554" s="200"/>
      <c r="F554" s="200"/>
      <c r="G554" s="200"/>
      <c r="H554" s="200"/>
      <c r="I554" s="200"/>
      <c r="J554" s="200"/>
      <c r="K554" s="200"/>
      <c r="L554" s="200"/>
      <c r="M554" s="200"/>
      <c r="N554" s="200"/>
      <c r="O554" s="200"/>
      <c r="P554" s="200"/>
      <c r="Q554" s="200"/>
      <c r="R554" s="200"/>
      <c r="S554" s="200"/>
      <c r="T554" s="200"/>
    </row>
    <row r="555" ht="13.5" customHeight="1">
      <c r="A555" s="200"/>
      <c r="B555" s="200"/>
      <c r="C555" s="200"/>
      <c r="D555" s="200"/>
      <c r="E555" s="200"/>
      <c r="F555" s="200"/>
      <c r="G555" s="200"/>
      <c r="H555" s="200"/>
      <c r="I555" s="200"/>
      <c r="J555" s="200"/>
      <c r="K555" s="200"/>
      <c r="L555" s="200"/>
      <c r="M555" s="200"/>
      <c r="N555" s="200"/>
      <c r="O555" s="200"/>
      <c r="P555" s="200"/>
      <c r="Q555" s="200"/>
      <c r="R555" s="200"/>
      <c r="S555" s="200"/>
      <c r="T555" s="200"/>
    </row>
    <row r="556" ht="13.5" customHeight="1">
      <c r="A556" s="200"/>
      <c r="B556" s="200"/>
      <c r="C556" s="200"/>
      <c r="D556" s="200"/>
      <c r="E556" s="200"/>
      <c r="F556" s="200"/>
      <c r="G556" s="200"/>
      <c r="H556" s="200"/>
      <c r="I556" s="200"/>
      <c r="J556" s="200"/>
      <c r="K556" s="200"/>
      <c r="L556" s="200"/>
      <c r="M556" s="200"/>
      <c r="N556" s="200"/>
      <c r="O556" s="200"/>
      <c r="P556" s="200"/>
      <c r="Q556" s="200"/>
      <c r="R556" s="200"/>
      <c r="S556" s="200"/>
      <c r="T556" s="200"/>
    </row>
    <row r="557" ht="13.5" customHeight="1">
      <c r="A557" s="200"/>
      <c r="B557" s="200"/>
      <c r="C557" s="200"/>
      <c r="D557" s="200"/>
      <c r="E557" s="200"/>
      <c r="F557" s="200"/>
      <c r="G557" s="200"/>
      <c r="H557" s="200"/>
      <c r="I557" s="200"/>
      <c r="J557" s="200"/>
      <c r="K557" s="200"/>
      <c r="L557" s="200"/>
      <c r="M557" s="200"/>
      <c r="N557" s="200"/>
      <c r="O557" s="200"/>
      <c r="P557" s="200"/>
      <c r="Q557" s="200"/>
      <c r="R557" s="200"/>
      <c r="S557" s="200"/>
      <c r="T557" s="200"/>
    </row>
    <row r="558" ht="13.5" customHeight="1">
      <c r="A558" s="200"/>
      <c r="B558" s="200"/>
      <c r="C558" s="200"/>
      <c r="D558" s="200"/>
      <c r="E558" s="200"/>
      <c r="F558" s="200"/>
      <c r="G558" s="200"/>
      <c r="H558" s="200"/>
      <c r="I558" s="200"/>
      <c r="J558" s="200"/>
      <c r="K558" s="200"/>
      <c r="L558" s="200"/>
      <c r="M558" s="200"/>
      <c r="N558" s="200"/>
      <c r="O558" s="200"/>
      <c r="P558" s="200"/>
      <c r="Q558" s="200"/>
      <c r="R558" s="200"/>
      <c r="S558" s="200"/>
      <c r="T558" s="200"/>
    </row>
    <row r="559" ht="13.5" customHeight="1">
      <c r="A559" s="200"/>
      <c r="B559" s="200"/>
      <c r="C559" s="200"/>
      <c r="D559" s="200"/>
      <c r="E559" s="200"/>
      <c r="F559" s="200"/>
      <c r="G559" s="200"/>
      <c r="H559" s="200"/>
      <c r="I559" s="200"/>
      <c r="J559" s="200"/>
      <c r="K559" s="200"/>
      <c r="L559" s="200"/>
      <c r="M559" s="200"/>
      <c r="N559" s="200"/>
      <c r="O559" s="200"/>
      <c r="P559" s="200"/>
      <c r="Q559" s="200"/>
      <c r="R559" s="200"/>
      <c r="S559" s="200"/>
      <c r="T559" s="200"/>
    </row>
    <row r="560" ht="13.5" customHeight="1">
      <c r="A560" s="200"/>
      <c r="B560" s="200"/>
      <c r="C560" s="200"/>
      <c r="D560" s="200"/>
      <c r="E560" s="200"/>
      <c r="F560" s="200"/>
      <c r="G560" s="200"/>
      <c r="H560" s="200"/>
      <c r="I560" s="200"/>
      <c r="J560" s="200"/>
      <c r="K560" s="200"/>
      <c r="L560" s="200"/>
      <c r="M560" s="200"/>
      <c r="N560" s="200"/>
      <c r="O560" s="200"/>
      <c r="P560" s="200"/>
      <c r="Q560" s="200"/>
      <c r="R560" s="200"/>
      <c r="S560" s="200"/>
      <c r="T560" s="200"/>
    </row>
    <row r="561" ht="13.5" customHeight="1">
      <c r="A561" s="200"/>
      <c r="B561" s="200"/>
      <c r="C561" s="200"/>
      <c r="D561" s="200"/>
      <c r="E561" s="200"/>
      <c r="F561" s="200"/>
      <c r="G561" s="200"/>
      <c r="H561" s="200"/>
      <c r="I561" s="200"/>
      <c r="J561" s="200"/>
      <c r="K561" s="200"/>
      <c r="L561" s="200"/>
      <c r="M561" s="200"/>
      <c r="N561" s="200"/>
      <c r="O561" s="200"/>
      <c r="P561" s="200"/>
      <c r="Q561" s="200"/>
      <c r="R561" s="200"/>
      <c r="S561" s="200"/>
      <c r="T561" s="200"/>
    </row>
    <row r="562" ht="13.5" customHeight="1">
      <c r="A562" s="200"/>
      <c r="B562" s="200"/>
      <c r="C562" s="200"/>
      <c r="D562" s="200"/>
      <c r="E562" s="200"/>
      <c r="F562" s="200"/>
      <c r="G562" s="200"/>
      <c r="H562" s="200"/>
      <c r="I562" s="200"/>
      <c r="J562" s="200"/>
      <c r="K562" s="200"/>
      <c r="L562" s="200"/>
      <c r="M562" s="200"/>
      <c r="N562" s="200"/>
      <c r="O562" s="200"/>
      <c r="P562" s="200"/>
      <c r="Q562" s="200"/>
      <c r="R562" s="200"/>
      <c r="S562" s="200"/>
      <c r="T562" s="200"/>
    </row>
    <row r="563" ht="13.5" customHeight="1">
      <c r="A563" s="200"/>
      <c r="B563" s="200"/>
      <c r="C563" s="200"/>
      <c r="D563" s="200"/>
      <c r="E563" s="200"/>
      <c r="F563" s="200"/>
      <c r="G563" s="200"/>
      <c r="H563" s="200"/>
      <c r="I563" s="200"/>
      <c r="J563" s="200"/>
      <c r="K563" s="200"/>
      <c r="L563" s="200"/>
      <c r="M563" s="200"/>
      <c r="N563" s="200"/>
      <c r="O563" s="200"/>
      <c r="P563" s="200"/>
      <c r="Q563" s="200"/>
      <c r="R563" s="200"/>
      <c r="S563" s="200"/>
      <c r="T563" s="200"/>
    </row>
    <row r="564" ht="13.5" customHeight="1">
      <c r="A564" s="200"/>
      <c r="B564" s="200"/>
      <c r="C564" s="200"/>
      <c r="D564" s="200"/>
      <c r="E564" s="200"/>
      <c r="F564" s="200"/>
      <c r="G564" s="200"/>
      <c r="H564" s="200"/>
      <c r="I564" s="200"/>
      <c r="J564" s="200"/>
      <c r="K564" s="200"/>
      <c r="L564" s="200"/>
      <c r="M564" s="200"/>
      <c r="N564" s="200"/>
      <c r="O564" s="200"/>
      <c r="P564" s="200"/>
      <c r="Q564" s="200"/>
      <c r="R564" s="200"/>
      <c r="S564" s="200"/>
      <c r="T564" s="200"/>
    </row>
    <row r="565" ht="13.5" customHeight="1">
      <c r="A565" s="200"/>
      <c r="B565" s="200"/>
      <c r="C565" s="200"/>
      <c r="D565" s="200"/>
      <c r="E565" s="200"/>
      <c r="F565" s="200"/>
      <c r="G565" s="200"/>
      <c r="H565" s="200"/>
      <c r="I565" s="200"/>
      <c r="J565" s="200"/>
      <c r="K565" s="200"/>
      <c r="L565" s="200"/>
      <c r="M565" s="200"/>
      <c r="N565" s="200"/>
      <c r="O565" s="200"/>
      <c r="P565" s="200"/>
      <c r="Q565" s="200"/>
      <c r="R565" s="200"/>
      <c r="S565" s="200"/>
      <c r="T565" s="200"/>
    </row>
    <row r="566" ht="13.5" customHeight="1">
      <c r="A566" s="200"/>
      <c r="B566" s="200"/>
      <c r="C566" s="200"/>
      <c r="D566" s="200"/>
      <c r="E566" s="200"/>
      <c r="F566" s="200"/>
      <c r="G566" s="200"/>
      <c r="H566" s="200"/>
      <c r="I566" s="200"/>
      <c r="J566" s="200"/>
      <c r="K566" s="200"/>
      <c r="L566" s="200"/>
      <c r="M566" s="200"/>
      <c r="N566" s="200"/>
      <c r="O566" s="200"/>
      <c r="P566" s="200"/>
      <c r="Q566" s="200"/>
      <c r="R566" s="200"/>
      <c r="S566" s="200"/>
      <c r="T566" s="200"/>
    </row>
    <row r="567" ht="13.5" customHeight="1">
      <c r="A567" s="200"/>
      <c r="B567" s="200"/>
      <c r="C567" s="200"/>
      <c r="D567" s="200"/>
      <c r="E567" s="200"/>
      <c r="F567" s="200"/>
      <c r="G567" s="200"/>
      <c r="H567" s="200"/>
      <c r="I567" s="200"/>
      <c r="J567" s="200"/>
      <c r="K567" s="200"/>
      <c r="L567" s="200"/>
      <c r="M567" s="200"/>
      <c r="N567" s="200"/>
      <c r="O567" s="200"/>
      <c r="P567" s="200"/>
      <c r="Q567" s="200"/>
      <c r="R567" s="200"/>
      <c r="S567" s="200"/>
      <c r="T567" s="200"/>
    </row>
    <row r="568" ht="13.5" customHeight="1">
      <c r="A568" s="200"/>
      <c r="B568" s="200"/>
      <c r="C568" s="200"/>
      <c r="D568" s="200"/>
      <c r="E568" s="200"/>
      <c r="F568" s="200"/>
      <c r="G568" s="200"/>
      <c r="H568" s="200"/>
      <c r="I568" s="200"/>
      <c r="J568" s="200"/>
      <c r="K568" s="200"/>
      <c r="L568" s="200"/>
      <c r="M568" s="200"/>
      <c r="N568" s="200"/>
      <c r="O568" s="200"/>
      <c r="P568" s="200"/>
      <c r="Q568" s="200"/>
      <c r="R568" s="200"/>
      <c r="S568" s="200"/>
      <c r="T568" s="200"/>
    </row>
    <row r="569" ht="13.5" customHeight="1">
      <c r="A569" s="200"/>
      <c r="B569" s="200"/>
      <c r="C569" s="200"/>
      <c r="D569" s="200"/>
      <c r="E569" s="200"/>
      <c r="F569" s="200"/>
      <c r="G569" s="200"/>
      <c r="H569" s="200"/>
      <c r="I569" s="200"/>
      <c r="J569" s="200"/>
      <c r="K569" s="200"/>
      <c r="L569" s="200"/>
      <c r="M569" s="200"/>
      <c r="N569" s="200"/>
      <c r="O569" s="200"/>
      <c r="P569" s="200"/>
      <c r="Q569" s="200"/>
      <c r="R569" s="200"/>
      <c r="S569" s="200"/>
      <c r="T569" s="200"/>
    </row>
    <row r="570" ht="13.5" customHeight="1">
      <c r="A570" s="200"/>
      <c r="B570" s="200"/>
      <c r="C570" s="200"/>
      <c r="D570" s="200"/>
      <c r="E570" s="200"/>
      <c r="F570" s="200"/>
      <c r="G570" s="200"/>
      <c r="H570" s="200"/>
      <c r="I570" s="200"/>
      <c r="J570" s="200"/>
      <c r="K570" s="200"/>
      <c r="L570" s="200"/>
      <c r="M570" s="200"/>
      <c r="N570" s="200"/>
      <c r="O570" s="200"/>
      <c r="P570" s="200"/>
      <c r="Q570" s="200"/>
      <c r="R570" s="200"/>
      <c r="S570" s="200"/>
      <c r="T570" s="200"/>
    </row>
    <row r="571" ht="13.5" customHeight="1">
      <c r="A571" s="200"/>
      <c r="B571" s="200"/>
      <c r="C571" s="200"/>
      <c r="D571" s="200"/>
      <c r="E571" s="200"/>
      <c r="F571" s="200"/>
      <c r="G571" s="200"/>
      <c r="H571" s="200"/>
      <c r="I571" s="200"/>
      <c r="J571" s="200"/>
      <c r="K571" s="200"/>
      <c r="L571" s="200"/>
      <c r="M571" s="200"/>
      <c r="N571" s="200"/>
      <c r="O571" s="200"/>
      <c r="P571" s="200"/>
      <c r="Q571" s="200"/>
      <c r="R571" s="200"/>
      <c r="S571" s="200"/>
      <c r="T571" s="200"/>
    </row>
    <row r="572" ht="13.5" customHeight="1">
      <c r="A572" s="200"/>
      <c r="B572" s="200"/>
      <c r="C572" s="200"/>
      <c r="D572" s="200"/>
      <c r="E572" s="200"/>
      <c r="F572" s="200"/>
      <c r="G572" s="200"/>
      <c r="H572" s="200"/>
      <c r="I572" s="200"/>
      <c r="J572" s="200"/>
      <c r="K572" s="200"/>
      <c r="L572" s="200"/>
      <c r="M572" s="200"/>
      <c r="N572" s="200"/>
      <c r="O572" s="200"/>
      <c r="P572" s="200"/>
      <c r="Q572" s="200"/>
      <c r="R572" s="200"/>
      <c r="S572" s="200"/>
      <c r="T572" s="200"/>
    </row>
    <row r="573" ht="13.5" customHeight="1">
      <c r="A573" s="200"/>
      <c r="B573" s="200"/>
      <c r="C573" s="200"/>
      <c r="D573" s="200"/>
      <c r="E573" s="200"/>
      <c r="F573" s="200"/>
      <c r="G573" s="200"/>
      <c r="H573" s="200"/>
      <c r="I573" s="200"/>
      <c r="J573" s="200"/>
      <c r="K573" s="200"/>
      <c r="L573" s="200"/>
      <c r="M573" s="200"/>
      <c r="N573" s="200"/>
      <c r="O573" s="200"/>
      <c r="P573" s="200"/>
      <c r="Q573" s="200"/>
      <c r="R573" s="200"/>
      <c r="S573" s="200"/>
      <c r="T573" s="200"/>
    </row>
    <row r="574" ht="13.5" customHeight="1">
      <c r="A574" s="200"/>
      <c r="B574" s="200"/>
      <c r="C574" s="200"/>
      <c r="D574" s="200"/>
      <c r="E574" s="200"/>
      <c r="F574" s="200"/>
      <c r="G574" s="200"/>
      <c r="H574" s="200"/>
      <c r="I574" s="200"/>
      <c r="J574" s="200"/>
      <c r="K574" s="200"/>
      <c r="L574" s="200"/>
      <c r="M574" s="200"/>
      <c r="N574" s="200"/>
      <c r="O574" s="200"/>
      <c r="P574" s="200"/>
      <c r="Q574" s="200"/>
      <c r="R574" s="200"/>
      <c r="S574" s="200"/>
      <c r="T574" s="200"/>
    </row>
    <row r="575" ht="13.5" customHeight="1">
      <c r="A575" s="200"/>
      <c r="B575" s="200"/>
      <c r="C575" s="200"/>
      <c r="D575" s="200"/>
      <c r="E575" s="200"/>
      <c r="F575" s="200"/>
      <c r="G575" s="200"/>
      <c r="H575" s="200"/>
      <c r="I575" s="200"/>
      <c r="J575" s="200"/>
      <c r="K575" s="200"/>
      <c r="L575" s="200"/>
      <c r="M575" s="200"/>
      <c r="N575" s="200"/>
      <c r="O575" s="200"/>
      <c r="P575" s="200"/>
      <c r="Q575" s="200"/>
      <c r="R575" s="200"/>
      <c r="S575" s="200"/>
      <c r="T575" s="200"/>
    </row>
    <row r="576" ht="13.5" customHeight="1">
      <c r="A576" s="200"/>
      <c r="B576" s="200"/>
      <c r="C576" s="200"/>
      <c r="D576" s="200"/>
      <c r="E576" s="200"/>
      <c r="F576" s="200"/>
      <c r="G576" s="200"/>
      <c r="H576" s="200"/>
      <c r="I576" s="200"/>
      <c r="J576" s="200"/>
      <c r="K576" s="200"/>
      <c r="L576" s="200"/>
      <c r="M576" s="200"/>
      <c r="N576" s="200"/>
      <c r="O576" s="200"/>
      <c r="P576" s="200"/>
      <c r="Q576" s="200"/>
      <c r="R576" s="200"/>
      <c r="S576" s="200"/>
      <c r="T576" s="200"/>
    </row>
    <row r="577" ht="13.5" customHeight="1">
      <c r="A577" s="200"/>
      <c r="B577" s="200"/>
      <c r="C577" s="200"/>
      <c r="D577" s="200"/>
      <c r="E577" s="200"/>
      <c r="F577" s="200"/>
      <c r="G577" s="200"/>
      <c r="H577" s="200"/>
      <c r="I577" s="200"/>
      <c r="J577" s="200"/>
      <c r="K577" s="200"/>
      <c r="L577" s="200"/>
      <c r="M577" s="200"/>
      <c r="N577" s="200"/>
      <c r="O577" s="200"/>
      <c r="P577" s="200"/>
      <c r="Q577" s="200"/>
      <c r="R577" s="200"/>
      <c r="S577" s="200"/>
      <c r="T577" s="200"/>
    </row>
    <row r="578" ht="13.5" customHeight="1">
      <c r="A578" s="200"/>
      <c r="B578" s="200"/>
      <c r="C578" s="200"/>
      <c r="D578" s="200"/>
      <c r="E578" s="200"/>
      <c r="F578" s="200"/>
      <c r="G578" s="200"/>
      <c r="H578" s="200"/>
      <c r="I578" s="200"/>
      <c r="J578" s="200"/>
      <c r="K578" s="200"/>
      <c r="L578" s="200"/>
      <c r="M578" s="200"/>
      <c r="N578" s="200"/>
      <c r="O578" s="200"/>
      <c r="P578" s="200"/>
      <c r="Q578" s="200"/>
      <c r="R578" s="200"/>
      <c r="S578" s="200"/>
      <c r="T578" s="200"/>
    </row>
    <row r="579" ht="13.5" customHeight="1">
      <c r="A579" s="200"/>
      <c r="B579" s="200"/>
      <c r="C579" s="200"/>
      <c r="D579" s="200"/>
      <c r="E579" s="200"/>
      <c r="F579" s="200"/>
      <c r="G579" s="200"/>
      <c r="H579" s="200"/>
      <c r="I579" s="200"/>
      <c r="J579" s="200"/>
      <c r="K579" s="200"/>
      <c r="L579" s="200"/>
      <c r="M579" s="200"/>
      <c r="N579" s="200"/>
      <c r="O579" s="200"/>
      <c r="P579" s="200"/>
      <c r="Q579" s="200"/>
      <c r="R579" s="200"/>
      <c r="S579" s="200"/>
      <c r="T579" s="200"/>
    </row>
    <row r="580" ht="13.5" customHeight="1">
      <c r="A580" s="200"/>
      <c r="B580" s="200"/>
      <c r="C580" s="200"/>
      <c r="D580" s="200"/>
      <c r="E580" s="200"/>
      <c r="F580" s="200"/>
      <c r="G580" s="200"/>
      <c r="H580" s="200"/>
      <c r="I580" s="200"/>
      <c r="J580" s="200"/>
      <c r="K580" s="200"/>
      <c r="L580" s="200"/>
      <c r="M580" s="200"/>
      <c r="N580" s="200"/>
      <c r="O580" s="200"/>
      <c r="P580" s="200"/>
      <c r="Q580" s="200"/>
      <c r="R580" s="200"/>
      <c r="S580" s="200"/>
      <c r="T580" s="200"/>
    </row>
    <row r="581" ht="13.5" customHeight="1">
      <c r="A581" s="200"/>
      <c r="B581" s="200"/>
      <c r="C581" s="200"/>
      <c r="D581" s="200"/>
      <c r="E581" s="200"/>
      <c r="F581" s="200"/>
      <c r="G581" s="200"/>
      <c r="H581" s="200"/>
      <c r="I581" s="200"/>
      <c r="J581" s="200"/>
      <c r="K581" s="200"/>
      <c r="L581" s="200"/>
      <c r="M581" s="200"/>
      <c r="N581" s="200"/>
      <c r="O581" s="200"/>
      <c r="P581" s="200"/>
      <c r="Q581" s="200"/>
      <c r="R581" s="200"/>
      <c r="S581" s="200"/>
      <c r="T581" s="200"/>
    </row>
    <row r="582" ht="13.5" customHeight="1">
      <c r="A582" s="200"/>
      <c r="B582" s="200"/>
      <c r="C582" s="200"/>
      <c r="D582" s="200"/>
      <c r="E582" s="200"/>
      <c r="F582" s="200"/>
      <c r="G582" s="200"/>
      <c r="H582" s="200"/>
      <c r="I582" s="200"/>
      <c r="J582" s="200"/>
      <c r="K582" s="200"/>
      <c r="L582" s="200"/>
      <c r="M582" s="200"/>
      <c r="N582" s="200"/>
      <c r="O582" s="200"/>
      <c r="P582" s="200"/>
      <c r="Q582" s="200"/>
      <c r="R582" s="200"/>
      <c r="S582" s="200"/>
      <c r="T582" s="200"/>
    </row>
    <row r="583" ht="13.5" customHeight="1">
      <c r="A583" s="200"/>
      <c r="B583" s="200"/>
      <c r="C583" s="200"/>
      <c r="D583" s="200"/>
      <c r="E583" s="200"/>
      <c r="F583" s="200"/>
      <c r="G583" s="200"/>
      <c r="H583" s="200"/>
      <c r="I583" s="200"/>
      <c r="J583" s="200"/>
      <c r="K583" s="200"/>
      <c r="L583" s="200"/>
      <c r="M583" s="200"/>
      <c r="N583" s="200"/>
      <c r="O583" s="200"/>
      <c r="P583" s="200"/>
      <c r="Q583" s="200"/>
      <c r="R583" s="200"/>
      <c r="S583" s="200"/>
      <c r="T583" s="200"/>
    </row>
    <row r="584" ht="13.5" customHeight="1">
      <c r="A584" s="200"/>
      <c r="B584" s="200"/>
      <c r="C584" s="200"/>
      <c r="D584" s="200"/>
      <c r="E584" s="200"/>
      <c r="F584" s="200"/>
      <c r="G584" s="200"/>
      <c r="H584" s="200"/>
      <c r="I584" s="200"/>
      <c r="J584" s="200"/>
      <c r="K584" s="200"/>
      <c r="L584" s="200"/>
      <c r="M584" s="200"/>
      <c r="N584" s="200"/>
      <c r="O584" s="200"/>
      <c r="P584" s="200"/>
      <c r="Q584" s="200"/>
      <c r="R584" s="200"/>
      <c r="S584" s="200"/>
      <c r="T584" s="200"/>
    </row>
    <row r="585" ht="13.5" customHeight="1">
      <c r="A585" s="200"/>
      <c r="B585" s="200"/>
      <c r="C585" s="200"/>
      <c r="D585" s="200"/>
      <c r="E585" s="200"/>
      <c r="F585" s="200"/>
      <c r="G585" s="200"/>
      <c r="H585" s="200"/>
      <c r="I585" s="200"/>
      <c r="J585" s="200"/>
      <c r="K585" s="200"/>
      <c r="L585" s="200"/>
      <c r="M585" s="200"/>
      <c r="N585" s="200"/>
      <c r="O585" s="200"/>
      <c r="P585" s="200"/>
      <c r="Q585" s="200"/>
      <c r="R585" s="200"/>
      <c r="S585" s="200"/>
      <c r="T585" s="200"/>
    </row>
    <row r="586" ht="13.5" customHeight="1">
      <c r="A586" s="200"/>
      <c r="B586" s="200"/>
      <c r="C586" s="200"/>
      <c r="D586" s="200"/>
      <c r="E586" s="200"/>
      <c r="F586" s="200"/>
      <c r="G586" s="200"/>
      <c r="H586" s="200"/>
      <c r="I586" s="200"/>
      <c r="J586" s="200"/>
      <c r="K586" s="200"/>
      <c r="L586" s="200"/>
      <c r="M586" s="200"/>
      <c r="N586" s="200"/>
      <c r="O586" s="200"/>
      <c r="P586" s="200"/>
      <c r="Q586" s="200"/>
      <c r="R586" s="200"/>
      <c r="S586" s="200"/>
      <c r="T586" s="200"/>
    </row>
    <row r="587" ht="13.5" customHeight="1">
      <c r="A587" s="200"/>
      <c r="B587" s="200"/>
      <c r="C587" s="200"/>
      <c r="D587" s="200"/>
      <c r="E587" s="200"/>
      <c r="F587" s="200"/>
      <c r="G587" s="200"/>
      <c r="H587" s="200"/>
      <c r="I587" s="200"/>
      <c r="J587" s="200"/>
      <c r="K587" s="200"/>
      <c r="L587" s="200"/>
      <c r="M587" s="200"/>
      <c r="N587" s="200"/>
      <c r="O587" s="200"/>
      <c r="P587" s="200"/>
      <c r="Q587" s="200"/>
      <c r="R587" s="200"/>
      <c r="S587" s="200"/>
      <c r="T587" s="200"/>
    </row>
    <row r="588" ht="13.5" customHeight="1">
      <c r="A588" s="200"/>
      <c r="B588" s="200"/>
      <c r="C588" s="200"/>
      <c r="D588" s="200"/>
      <c r="E588" s="200"/>
      <c r="F588" s="200"/>
      <c r="G588" s="200"/>
      <c r="H588" s="200"/>
      <c r="I588" s="200"/>
      <c r="J588" s="200"/>
      <c r="K588" s="200"/>
      <c r="L588" s="200"/>
      <c r="M588" s="200"/>
      <c r="N588" s="200"/>
      <c r="O588" s="200"/>
      <c r="P588" s="200"/>
      <c r="Q588" s="200"/>
      <c r="R588" s="200"/>
      <c r="S588" s="200"/>
      <c r="T588" s="200"/>
    </row>
    <row r="589" ht="13.5" customHeight="1">
      <c r="A589" s="200"/>
      <c r="B589" s="200"/>
      <c r="C589" s="200"/>
      <c r="D589" s="200"/>
      <c r="E589" s="200"/>
      <c r="F589" s="200"/>
      <c r="G589" s="200"/>
      <c r="H589" s="200"/>
      <c r="I589" s="200"/>
      <c r="J589" s="200"/>
      <c r="K589" s="200"/>
      <c r="L589" s="200"/>
      <c r="M589" s="200"/>
      <c r="N589" s="200"/>
      <c r="O589" s="200"/>
      <c r="P589" s="200"/>
      <c r="Q589" s="200"/>
      <c r="R589" s="200"/>
      <c r="S589" s="200"/>
      <c r="T589" s="200"/>
    </row>
    <row r="590" ht="13.5" customHeight="1">
      <c r="A590" s="200"/>
      <c r="B590" s="200"/>
      <c r="C590" s="200"/>
      <c r="D590" s="200"/>
      <c r="E590" s="200"/>
      <c r="F590" s="200"/>
      <c r="G590" s="200"/>
      <c r="H590" s="200"/>
      <c r="I590" s="200"/>
      <c r="J590" s="200"/>
      <c r="K590" s="200"/>
      <c r="L590" s="200"/>
      <c r="M590" s="200"/>
      <c r="N590" s="200"/>
      <c r="O590" s="200"/>
      <c r="P590" s="200"/>
      <c r="Q590" s="200"/>
      <c r="R590" s="200"/>
      <c r="S590" s="200"/>
      <c r="T590" s="200"/>
    </row>
    <row r="591" ht="13.5" customHeight="1">
      <c r="A591" s="200"/>
      <c r="B591" s="200"/>
      <c r="C591" s="200"/>
      <c r="D591" s="200"/>
      <c r="E591" s="200"/>
      <c r="F591" s="200"/>
      <c r="G591" s="200"/>
      <c r="H591" s="200"/>
      <c r="I591" s="200"/>
      <c r="J591" s="200"/>
      <c r="K591" s="200"/>
      <c r="L591" s="200"/>
      <c r="M591" s="200"/>
      <c r="N591" s="200"/>
      <c r="O591" s="200"/>
      <c r="P591" s="200"/>
      <c r="Q591" s="200"/>
      <c r="R591" s="200"/>
      <c r="S591" s="200"/>
      <c r="T591" s="200"/>
    </row>
    <row r="592" ht="13.5" customHeight="1">
      <c r="A592" s="200"/>
      <c r="B592" s="200"/>
      <c r="C592" s="200"/>
      <c r="D592" s="200"/>
      <c r="E592" s="200"/>
      <c r="F592" s="200"/>
      <c r="G592" s="200"/>
      <c r="H592" s="200"/>
      <c r="I592" s="200"/>
      <c r="J592" s="200"/>
      <c r="K592" s="200"/>
      <c r="L592" s="200"/>
      <c r="M592" s="200"/>
      <c r="N592" s="200"/>
      <c r="O592" s="200"/>
      <c r="P592" s="200"/>
      <c r="Q592" s="200"/>
      <c r="R592" s="200"/>
      <c r="S592" s="200"/>
      <c r="T592" s="200"/>
    </row>
    <row r="593" ht="13.5" customHeight="1">
      <c r="A593" s="200"/>
      <c r="B593" s="200"/>
      <c r="C593" s="200"/>
      <c r="D593" s="200"/>
      <c r="E593" s="200"/>
      <c r="F593" s="200"/>
      <c r="G593" s="200"/>
      <c r="H593" s="200"/>
      <c r="I593" s="200"/>
      <c r="J593" s="200"/>
      <c r="K593" s="200"/>
      <c r="L593" s="200"/>
      <c r="M593" s="200"/>
      <c r="N593" s="200"/>
      <c r="O593" s="200"/>
      <c r="P593" s="200"/>
      <c r="Q593" s="200"/>
      <c r="R593" s="200"/>
      <c r="S593" s="200"/>
      <c r="T593" s="200"/>
    </row>
    <row r="594" ht="13.5" customHeight="1">
      <c r="A594" s="200"/>
      <c r="B594" s="200"/>
      <c r="C594" s="200"/>
      <c r="D594" s="200"/>
      <c r="E594" s="200"/>
      <c r="F594" s="200"/>
      <c r="G594" s="200"/>
      <c r="H594" s="200"/>
      <c r="I594" s="200"/>
      <c r="J594" s="200"/>
      <c r="K594" s="200"/>
      <c r="L594" s="200"/>
      <c r="M594" s="200"/>
      <c r="N594" s="200"/>
      <c r="O594" s="200"/>
      <c r="P594" s="200"/>
      <c r="Q594" s="200"/>
      <c r="R594" s="200"/>
      <c r="S594" s="200"/>
      <c r="T594" s="200"/>
    </row>
    <row r="595" ht="13.5" customHeight="1">
      <c r="A595" s="200"/>
      <c r="B595" s="200"/>
      <c r="C595" s="200"/>
      <c r="D595" s="200"/>
      <c r="E595" s="200"/>
      <c r="F595" s="200"/>
      <c r="G595" s="200"/>
      <c r="H595" s="200"/>
      <c r="I595" s="200"/>
      <c r="J595" s="200"/>
      <c r="K595" s="200"/>
      <c r="L595" s="200"/>
      <c r="M595" s="200"/>
      <c r="N595" s="200"/>
      <c r="O595" s="200"/>
      <c r="P595" s="200"/>
      <c r="Q595" s="200"/>
      <c r="R595" s="200"/>
      <c r="S595" s="200"/>
      <c r="T595" s="200"/>
    </row>
    <row r="596" ht="13.5" customHeight="1">
      <c r="A596" s="200"/>
      <c r="B596" s="200"/>
      <c r="C596" s="200"/>
      <c r="D596" s="200"/>
      <c r="E596" s="200"/>
      <c r="F596" s="200"/>
      <c r="G596" s="200"/>
      <c r="H596" s="200"/>
      <c r="I596" s="200"/>
      <c r="J596" s="200"/>
      <c r="K596" s="200"/>
      <c r="L596" s="200"/>
      <c r="M596" s="200"/>
      <c r="N596" s="200"/>
      <c r="O596" s="200"/>
      <c r="P596" s="200"/>
      <c r="Q596" s="200"/>
      <c r="R596" s="200"/>
      <c r="S596" s="200"/>
      <c r="T596" s="200"/>
    </row>
    <row r="597" ht="13.5" customHeight="1">
      <c r="A597" s="200"/>
      <c r="B597" s="200"/>
      <c r="C597" s="200"/>
      <c r="D597" s="200"/>
      <c r="E597" s="200"/>
      <c r="F597" s="200"/>
      <c r="G597" s="200"/>
      <c r="H597" s="200"/>
      <c r="I597" s="200"/>
      <c r="J597" s="200"/>
      <c r="K597" s="200"/>
      <c r="L597" s="200"/>
      <c r="M597" s="200"/>
      <c r="N597" s="200"/>
      <c r="O597" s="200"/>
      <c r="P597" s="200"/>
      <c r="Q597" s="200"/>
      <c r="R597" s="200"/>
      <c r="S597" s="200"/>
      <c r="T597" s="200"/>
    </row>
    <row r="598" ht="13.5" customHeight="1">
      <c r="A598" s="200"/>
      <c r="B598" s="200"/>
      <c r="C598" s="200"/>
      <c r="D598" s="200"/>
      <c r="E598" s="200"/>
      <c r="F598" s="200"/>
      <c r="G598" s="200"/>
      <c r="H598" s="200"/>
      <c r="I598" s="200"/>
      <c r="J598" s="200"/>
      <c r="K598" s="200"/>
      <c r="L598" s="200"/>
      <c r="M598" s="200"/>
      <c r="N598" s="200"/>
      <c r="O598" s="200"/>
      <c r="P598" s="200"/>
      <c r="Q598" s="200"/>
      <c r="R598" s="200"/>
      <c r="S598" s="200"/>
      <c r="T598" s="200"/>
    </row>
    <row r="599" ht="13.5" customHeight="1">
      <c r="A599" s="200"/>
      <c r="B599" s="200"/>
      <c r="C599" s="200"/>
      <c r="D599" s="200"/>
      <c r="E599" s="200"/>
      <c r="F599" s="200"/>
      <c r="G599" s="200"/>
      <c r="H599" s="200"/>
      <c r="I599" s="200"/>
      <c r="J599" s="200"/>
      <c r="K599" s="200"/>
      <c r="L599" s="200"/>
      <c r="M599" s="200"/>
      <c r="N599" s="200"/>
      <c r="O599" s="200"/>
      <c r="P599" s="200"/>
      <c r="Q599" s="200"/>
      <c r="R599" s="200"/>
      <c r="S599" s="200"/>
      <c r="T599" s="200"/>
    </row>
    <row r="600" ht="13.5" customHeight="1">
      <c r="A600" s="200"/>
      <c r="B600" s="200"/>
      <c r="C600" s="200"/>
      <c r="D600" s="200"/>
      <c r="E600" s="200"/>
      <c r="F600" s="200"/>
      <c r="G600" s="200"/>
      <c r="H600" s="200"/>
      <c r="I600" s="200"/>
      <c r="J600" s="200"/>
      <c r="K600" s="200"/>
      <c r="L600" s="200"/>
      <c r="M600" s="200"/>
      <c r="N600" s="200"/>
      <c r="O600" s="200"/>
      <c r="P600" s="200"/>
      <c r="Q600" s="200"/>
      <c r="R600" s="200"/>
      <c r="S600" s="200"/>
      <c r="T600" s="200"/>
    </row>
    <row r="601" ht="13.5" customHeight="1">
      <c r="A601" s="200"/>
      <c r="B601" s="200"/>
      <c r="C601" s="200"/>
      <c r="D601" s="200"/>
      <c r="E601" s="200"/>
      <c r="F601" s="200"/>
      <c r="G601" s="200"/>
      <c r="H601" s="200"/>
      <c r="I601" s="200"/>
      <c r="J601" s="200"/>
      <c r="K601" s="200"/>
      <c r="L601" s="200"/>
      <c r="M601" s="200"/>
      <c r="N601" s="200"/>
      <c r="O601" s="200"/>
      <c r="P601" s="200"/>
      <c r="Q601" s="200"/>
      <c r="R601" s="200"/>
      <c r="S601" s="200"/>
      <c r="T601" s="200"/>
    </row>
    <row r="602" ht="13.5" customHeight="1">
      <c r="A602" s="200"/>
      <c r="B602" s="200"/>
      <c r="C602" s="200"/>
      <c r="D602" s="200"/>
      <c r="E602" s="200"/>
      <c r="F602" s="200"/>
      <c r="G602" s="200"/>
      <c r="H602" s="200"/>
      <c r="I602" s="200"/>
      <c r="J602" s="200"/>
      <c r="K602" s="200"/>
      <c r="L602" s="200"/>
      <c r="M602" s="200"/>
      <c r="N602" s="200"/>
      <c r="O602" s="200"/>
      <c r="P602" s="200"/>
      <c r="Q602" s="200"/>
      <c r="R602" s="200"/>
      <c r="S602" s="200"/>
      <c r="T602" s="200"/>
    </row>
    <row r="603" ht="13.5" customHeight="1">
      <c r="A603" s="200"/>
      <c r="B603" s="200"/>
      <c r="C603" s="200"/>
      <c r="D603" s="200"/>
      <c r="E603" s="200"/>
      <c r="F603" s="200"/>
      <c r="G603" s="200"/>
      <c r="H603" s="200"/>
      <c r="I603" s="200"/>
      <c r="J603" s="200"/>
      <c r="K603" s="200"/>
      <c r="L603" s="200"/>
      <c r="M603" s="200"/>
      <c r="N603" s="200"/>
      <c r="O603" s="200"/>
      <c r="P603" s="200"/>
      <c r="Q603" s="200"/>
      <c r="R603" s="200"/>
      <c r="S603" s="200"/>
      <c r="T603" s="200"/>
    </row>
    <row r="604" ht="13.5" customHeight="1">
      <c r="A604" s="200"/>
      <c r="B604" s="200"/>
      <c r="C604" s="200"/>
      <c r="D604" s="200"/>
      <c r="E604" s="200"/>
      <c r="F604" s="200"/>
      <c r="G604" s="200"/>
      <c r="H604" s="200"/>
      <c r="I604" s="200"/>
      <c r="J604" s="200"/>
      <c r="K604" s="200"/>
      <c r="L604" s="200"/>
      <c r="M604" s="200"/>
      <c r="N604" s="200"/>
      <c r="O604" s="200"/>
      <c r="P604" s="200"/>
      <c r="Q604" s="200"/>
      <c r="R604" s="200"/>
      <c r="S604" s="200"/>
      <c r="T604" s="200"/>
    </row>
    <row r="605" ht="13.5" customHeight="1">
      <c r="A605" s="200"/>
      <c r="B605" s="200"/>
      <c r="C605" s="200"/>
      <c r="D605" s="200"/>
      <c r="E605" s="200"/>
      <c r="F605" s="200"/>
      <c r="G605" s="200"/>
      <c r="H605" s="200"/>
      <c r="I605" s="200"/>
      <c r="J605" s="200"/>
      <c r="K605" s="200"/>
      <c r="L605" s="200"/>
      <c r="M605" s="200"/>
      <c r="N605" s="200"/>
      <c r="O605" s="200"/>
      <c r="P605" s="200"/>
      <c r="Q605" s="200"/>
      <c r="R605" s="200"/>
      <c r="S605" s="200"/>
      <c r="T605" s="200"/>
    </row>
    <row r="606" ht="13.5" customHeight="1">
      <c r="A606" s="200"/>
      <c r="B606" s="200"/>
      <c r="C606" s="200"/>
      <c r="D606" s="200"/>
      <c r="E606" s="200"/>
      <c r="F606" s="200"/>
      <c r="G606" s="200"/>
      <c r="H606" s="200"/>
      <c r="I606" s="200"/>
      <c r="J606" s="200"/>
      <c r="K606" s="200"/>
      <c r="L606" s="200"/>
      <c r="M606" s="200"/>
      <c r="N606" s="200"/>
      <c r="O606" s="200"/>
      <c r="P606" s="200"/>
      <c r="Q606" s="200"/>
      <c r="R606" s="200"/>
      <c r="S606" s="200"/>
      <c r="T606" s="200"/>
    </row>
    <row r="607" ht="13.5" customHeight="1">
      <c r="A607" s="200"/>
      <c r="B607" s="200"/>
      <c r="C607" s="200"/>
      <c r="D607" s="200"/>
      <c r="E607" s="200"/>
      <c r="F607" s="200"/>
      <c r="G607" s="200"/>
      <c r="H607" s="200"/>
      <c r="I607" s="200"/>
      <c r="J607" s="200"/>
      <c r="K607" s="200"/>
      <c r="L607" s="200"/>
      <c r="M607" s="200"/>
      <c r="N607" s="200"/>
      <c r="O607" s="200"/>
      <c r="P607" s="200"/>
      <c r="Q607" s="200"/>
      <c r="R607" s="200"/>
      <c r="S607" s="200"/>
      <c r="T607" s="200"/>
    </row>
    <row r="608" ht="13.5" customHeight="1">
      <c r="A608" s="200"/>
      <c r="B608" s="200"/>
      <c r="C608" s="200"/>
      <c r="D608" s="200"/>
      <c r="E608" s="200"/>
      <c r="F608" s="200"/>
      <c r="G608" s="200"/>
      <c r="H608" s="200"/>
      <c r="I608" s="200"/>
      <c r="J608" s="200"/>
      <c r="K608" s="200"/>
      <c r="L608" s="200"/>
      <c r="M608" s="200"/>
      <c r="N608" s="200"/>
      <c r="O608" s="200"/>
      <c r="P608" s="200"/>
      <c r="Q608" s="200"/>
      <c r="R608" s="200"/>
      <c r="S608" s="200"/>
      <c r="T608" s="200"/>
    </row>
    <row r="609" ht="13.5" customHeight="1">
      <c r="A609" s="200"/>
      <c r="B609" s="200"/>
      <c r="C609" s="200"/>
      <c r="D609" s="200"/>
      <c r="E609" s="200"/>
      <c r="F609" s="200"/>
      <c r="G609" s="200"/>
      <c r="H609" s="200"/>
      <c r="I609" s="200"/>
      <c r="J609" s="200"/>
      <c r="K609" s="200"/>
      <c r="L609" s="200"/>
      <c r="M609" s="200"/>
      <c r="N609" s="200"/>
      <c r="O609" s="200"/>
      <c r="P609" s="200"/>
      <c r="Q609" s="200"/>
      <c r="R609" s="200"/>
      <c r="S609" s="200"/>
      <c r="T609" s="200"/>
    </row>
    <row r="610" ht="13.5" customHeight="1">
      <c r="A610" s="200"/>
      <c r="B610" s="200"/>
      <c r="C610" s="200"/>
      <c r="D610" s="200"/>
      <c r="E610" s="200"/>
      <c r="F610" s="200"/>
      <c r="G610" s="200"/>
      <c r="H610" s="200"/>
      <c r="I610" s="200"/>
      <c r="J610" s="200"/>
      <c r="K610" s="200"/>
      <c r="L610" s="200"/>
      <c r="M610" s="200"/>
      <c r="N610" s="200"/>
      <c r="O610" s="200"/>
      <c r="P610" s="200"/>
      <c r="Q610" s="200"/>
      <c r="R610" s="200"/>
      <c r="S610" s="200"/>
      <c r="T610" s="200"/>
    </row>
    <row r="611" ht="13.5" customHeight="1">
      <c r="A611" s="200"/>
      <c r="B611" s="200"/>
      <c r="C611" s="200"/>
      <c r="D611" s="200"/>
      <c r="E611" s="200"/>
      <c r="F611" s="200"/>
      <c r="G611" s="200"/>
      <c r="H611" s="200"/>
      <c r="I611" s="200"/>
      <c r="J611" s="200"/>
      <c r="K611" s="200"/>
      <c r="L611" s="200"/>
      <c r="M611" s="200"/>
      <c r="N611" s="200"/>
      <c r="O611" s="200"/>
      <c r="P611" s="200"/>
      <c r="Q611" s="200"/>
      <c r="R611" s="200"/>
      <c r="S611" s="200"/>
      <c r="T611" s="200"/>
    </row>
    <row r="612" ht="13.5" customHeight="1">
      <c r="A612" s="200"/>
      <c r="B612" s="200"/>
      <c r="C612" s="200"/>
      <c r="D612" s="200"/>
      <c r="E612" s="200"/>
      <c r="F612" s="200"/>
      <c r="G612" s="200"/>
      <c r="H612" s="200"/>
      <c r="I612" s="200"/>
      <c r="J612" s="200"/>
      <c r="K612" s="200"/>
      <c r="L612" s="200"/>
      <c r="M612" s="200"/>
      <c r="N612" s="200"/>
      <c r="O612" s="200"/>
      <c r="P612" s="200"/>
      <c r="Q612" s="200"/>
      <c r="R612" s="200"/>
      <c r="S612" s="200"/>
      <c r="T612" s="200"/>
    </row>
    <row r="613" ht="13.5" customHeight="1">
      <c r="A613" s="200"/>
      <c r="B613" s="200"/>
      <c r="C613" s="200"/>
      <c r="D613" s="200"/>
      <c r="E613" s="200"/>
      <c r="F613" s="200"/>
      <c r="G613" s="200"/>
      <c r="H613" s="200"/>
      <c r="I613" s="200"/>
      <c r="J613" s="200"/>
      <c r="K613" s="200"/>
      <c r="L613" s="200"/>
      <c r="M613" s="200"/>
      <c r="N613" s="200"/>
      <c r="O613" s="200"/>
      <c r="P613" s="200"/>
      <c r="Q613" s="200"/>
      <c r="R613" s="200"/>
      <c r="S613" s="200"/>
      <c r="T613" s="200"/>
    </row>
    <row r="614" ht="13.5" customHeight="1">
      <c r="A614" s="200"/>
      <c r="B614" s="200"/>
      <c r="C614" s="200"/>
      <c r="D614" s="200"/>
      <c r="E614" s="200"/>
      <c r="F614" s="200"/>
      <c r="G614" s="200"/>
      <c r="H614" s="200"/>
      <c r="I614" s="200"/>
      <c r="J614" s="200"/>
      <c r="K614" s="200"/>
      <c r="L614" s="200"/>
      <c r="M614" s="200"/>
      <c r="N614" s="200"/>
      <c r="O614" s="200"/>
      <c r="P614" s="200"/>
      <c r="Q614" s="200"/>
      <c r="R614" s="200"/>
      <c r="S614" s="200"/>
      <c r="T614" s="200"/>
    </row>
    <row r="615" ht="13.5" customHeight="1">
      <c r="A615" s="200"/>
      <c r="B615" s="200"/>
      <c r="C615" s="200"/>
      <c r="D615" s="200"/>
      <c r="E615" s="200"/>
      <c r="F615" s="200"/>
      <c r="G615" s="200"/>
      <c r="H615" s="200"/>
      <c r="I615" s="200"/>
      <c r="J615" s="200"/>
      <c r="K615" s="200"/>
      <c r="L615" s="200"/>
      <c r="M615" s="200"/>
      <c r="N615" s="200"/>
      <c r="O615" s="200"/>
      <c r="P615" s="200"/>
      <c r="Q615" s="200"/>
      <c r="R615" s="200"/>
      <c r="S615" s="200"/>
      <c r="T615" s="200"/>
    </row>
    <row r="616" ht="13.5" customHeight="1">
      <c r="A616" s="200"/>
      <c r="B616" s="200"/>
      <c r="C616" s="200"/>
      <c r="D616" s="200"/>
      <c r="E616" s="200"/>
      <c r="F616" s="200"/>
      <c r="G616" s="200"/>
      <c r="H616" s="200"/>
      <c r="I616" s="200"/>
      <c r="J616" s="200"/>
      <c r="K616" s="200"/>
      <c r="L616" s="200"/>
      <c r="M616" s="200"/>
      <c r="N616" s="200"/>
      <c r="O616" s="200"/>
      <c r="P616" s="200"/>
      <c r="Q616" s="200"/>
      <c r="R616" s="200"/>
      <c r="S616" s="200"/>
      <c r="T616" s="200"/>
    </row>
    <row r="617" ht="13.5" customHeight="1">
      <c r="A617" s="200"/>
      <c r="B617" s="200"/>
      <c r="C617" s="200"/>
      <c r="D617" s="200"/>
      <c r="E617" s="200"/>
      <c r="F617" s="200"/>
      <c r="G617" s="200"/>
      <c r="H617" s="200"/>
      <c r="I617" s="200"/>
      <c r="J617" s="200"/>
      <c r="K617" s="200"/>
      <c r="L617" s="200"/>
      <c r="M617" s="200"/>
      <c r="N617" s="200"/>
      <c r="O617" s="200"/>
      <c r="P617" s="200"/>
      <c r="Q617" s="200"/>
      <c r="R617" s="200"/>
      <c r="S617" s="200"/>
      <c r="T617" s="200"/>
    </row>
    <row r="618" ht="13.5" customHeight="1">
      <c r="A618" s="200"/>
      <c r="B618" s="200"/>
      <c r="C618" s="200"/>
      <c r="D618" s="200"/>
      <c r="E618" s="200"/>
      <c r="F618" s="200"/>
      <c r="G618" s="200"/>
      <c r="H618" s="200"/>
      <c r="I618" s="200"/>
      <c r="J618" s="200"/>
      <c r="K618" s="200"/>
      <c r="L618" s="200"/>
      <c r="M618" s="200"/>
      <c r="N618" s="200"/>
      <c r="O618" s="200"/>
      <c r="P618" s="200"/>
      <c r="Q618" s="200"/>
      <c r="R618" s="200"/>
      <c r="S618" s="200"/>
      <c r="T618" s="200"/>
    </row>
    <row r="619" ht="13.5" customHeight="1">
      <c r="A619" s="200"/>
      <c r="B619" s="200"/>
      <c r="C619" s="200"/>
      <c r="D619" s="200"/>
      <c r="E619" s="200"/>
      <c r="F619" s="200"/>
      <c r="G619" s="200"/>
      <c r="H619" s="200"/>
      <c r="I619" s="200"/>
      <c r="J619" s="200"/>
      <c r="K619" s="200"/>
      <c r="L619" s="200"/>
      <c r="M619" s="200"/>
      <c r="N619" s="200"/>
      <c r="O619" s="200"/>
      <c r="P619" s="200"/>
      <c r="Q619" s="200"/>
      <c r="R619" s="200"/>
      <c r="S619" s="200"/>
      <c r="T619" s="200"/>
    </row>
    <row r="620" ht="13.5" customHeight="1">
      <c r="A620" s="200"/>
      <c r="B620" s="200"/>
      <c r="C620" s="200"/>
      <c r="D620" s="200"/>
      <c r="E620" s="200"/>
      <c r="F620" s="200"/>
      <c r="G620" s="200"/>
      <c r="H620" s="200"/>
      <c r="I620" s="200"/>
      <c r="J620" s="200"/>
      <c r="K620" s="200"/>
      <c r="L620" s="200"/>
      <c r="M620" s="200"/>
      <c r="N620" s="200"/>
      <c r="O620" s="200"/>
      <c r="P620" s="200"/>
      <c r="Q620" s="200"/>
      <c r="R620" s="200"/>
      <c r="S620" s="200"/>
      <c r="T620" s="200"/>
    </row>
    <row r="621" ht="13.5" customHeight="1">
      <c r="A621" s="200"/>
      <c r="B621" s="200"/>
      <c r="C621" s="200"/>
      <c r="D621" s="200"/>
      <c r="E621" s="200"/>
      <c r="F621" s="200"/>
      <c r="G621" s="200"/>
      <c r="H621" s="200"/>
      <c r="I621" s="200"/>
      <c r="J621" s="200"/>
      <c r="K621" s="200"/>
      <c r="L621" s="200"/>
      <c r="M621" s="200"/>
      <c r="N621" s="200"/>
      <c r="O621" s="200"/>
      <c r="P621" s="200"/>
      <c r="Q621" s="200"/>
      <c r="R621" s="200"/>
      <c r="S621" s="200"/>
      <c r="T621" s="200"/>
    </row>
    <row r="622" ht="13.5" customHeight="1">
      <c r="A622" s="200"/>
      <c r="B622" s="200"/>
      <c r="C622" s="200"/>
      <c r="D622" s="200"/>
      <c r="E622" s="200"/>
      <c r="F622" s="200"/>
      <c r="G622" s="200"/>
      <c r="H622" s="200"/>
      <c r="I622" s="200"/>
      <c r="J622" s="200"/>
      <c r="K622" s="200"/>
      <c r="L622" s="200"/>
      <c r="M622" s="200"/>
      <c r="N622" s="200"/>
      <c r="O622" s="200"/>
      <c r="P622" s="200"/>
      <c r="Q622" s="200"/>
      <c r="R622" s="200"/>
      <c r="S622" s="200"/>
      <c r="T622" s="200"/>
    </row>
    <row r="623" ht="13.5" customHeight="1">
      <c r="A623" s="200"/>
      <c r="B623" s="200"/>
      <c r="C623" s="200"/>
      <c r="D623" s="200"/>
      <c r="E623" s="200"/>
      <c r="F623" s="200"/>
      <c r="G623" s="200"/>
      <c r="H623" s="200"/>
      <c r="I623" s="200"/>
      <c r="J623" s="200"/>
      <c r="K623" s="200"/>
      <c r="L623" s="200"/>
      <c r="M623" s="200"/>
      <c r="N623" s="200"/>
      <c r="O623" s="200"/>
      <c r="P623" s="200"/>
      <c r="Q623" s="200"/>
      <c r="R623" s="200"/>
      <c r="S623" s="200"/>
      <c r="T623" s="200"/>
    </row>
    <row r="624" ht="13.5" customHeight="1">
      <c r="A624" s="200"/>
      <c r="B624" s="200"/>
      <c r="C624" s="200"/>
      <c r="D624" s="200"/>
      <c r="E624" s="200"/>
      <c r="F624" s="200"/>
      <c r="G624" s="200"/>
      <c r="H624" s="200"/>
      <c r="I624" s="200"/>
      <c r="J624" s="200"/>
      <c r="K624" s="200"/>
      <c r="L624" s="200"/>
      <c r="M624" s="200"/>
      <c r="N624" s="200"/>
      <c r="O624" s="200"/>
      <c r="P624" s="200"/>
      <c r="Q624" s="200"/>
      <c r="R624" s="200"/>
      <c r="S624" s="200"/>
      <c r="T624" s="200"/>
    </row>
    <row r="625" ht="13.5" customHeight="1">
      <c r="A625" s="200"/>
      <c r="B625" s="200"/>
      <c r="C625" s="200"/>
      <c r="D625" s="200"/>
      <c r="E625" s="200"/>
      <c r="F625" s="200"/>
      <c r="G625" s="200"/>
      <c r="H625" s="200"/>
      <c r="I625" s="200"/>
      <c r="J625" s="200"/>
      <c r="K625" s="200"/>
      <c r="L625" s="200"/>
      <c r="M625" s="200"/>
      <c r="N625" s="200"/>
      <c r="O625" s="200"/>
      <c r="P625" s="200"/>
      <c r="Q625" s="200"/>
      <c r="R625" s="200"/>
      <c r="S625" s="200"/>
      <c r="T625" s="200"/>
    </row>
    <row r="626" ht="13.5" customHeight="1">
      <c r="A626" s="200"/>
      <c r="B626" s="200"/>
      <c r="C626" s="200"/>
      <c r="D626" s="200"/>
      <c r="E626" s="200"/>
      <c r="F626" s="200"/>
      <c r="G626" s="200"/>
      <c r="H626" s="200"/>
      <c r="I626" s="200"/>
      <c r="J626" s="200"/>
      <c r="K626" s="200"/>
      <c r="L626" s="200"/>
      <c r="M626" s="200"/>
      <c r="N626" s="200"/>
      <c r="O626" s="200"/>
      <c r="P626" s="200"/>
      <c r="Q626" s="200"/>
      <c r="R626" s="200"/>
      <c r="S626" s="200"/>
      <c r="T626" s="200"/>
    </row>
    <row r="627" ht="13.5" customHeight="1">
      <c r="A627" s="200"/>
      <c r="B627" s="200"/>
      <c r="C627" s="200"/>
      <c r="D627" s="200"/>
      <c r="E627" s="200"/>
      <c r="F627" s="200"/>
      <c r="G627" s="200"/>
      <c r="H627" s="200"/>
      <c r="I627" s="200"/>
      <c r="J627" s="200"/>
      <c r="K627" s="200"/>
      <c r="L627" s="200"/>
      <c r="M627" s="200"/>
      <c r="N627" s="200"/>
      <c r="O627" s="200"/>
      <c r="P627" s="200"/>
      <c r="Q627" s="200"/>
      <c r="R627" s="200"/>
      <c r="S627" s="200"/>
      <c r="T627" s="200"/>
    </row>
    <row r="628" ht="13.5" customHeight="1">
      <c r="A628" s="200"/>
      <c r="B628" s="200"/>
      <c r="C628" s="200"/>
      <c r="D628" s="200"/>
      <c r="E628" s="200"/>
      <c r="F628" s="200"/>
      <c r="G628" s="200"/>
      <c r="H628" s="200"/>
      <c r="I628" s="200"/>
      <c r="J628" s="200"/>
      <c r="K628" s="200"/>
      <c r="L628" s="200"/>
      <c r="M628" s="200"/>
      <c r="N628" s="200"/>
      <c r="O628" s="200"/>
      <c r="P628" s="200"/>
      <c r="Q628" s="200"/>
      <c r="R628" s="200"/>
      <c r="S628" s="200"/>
      <c r="T628" s="200"/>
    </row>
    <row r="629" ht="13.5" customHeight="1">
      <c r="A629" s="200"/>
      <c r="B629" s="200"/>
      <c r="C629" s="200"/>
      <c r="D629" s="200"/>
      <c r="E629" s="200"/>
      <c r="F629" s="200"/>
      <c r="G629" s="200"/>
      <c r="H629" s="200"/>
      <c r="I629" s="200"/>
      <c r="J629" s="200"/>
      <c r="K629" s="200"/>
      <c r="L629" s="200"/>
      <c r="M629" s="200"/>
      <c r="N629" s="200"/>
      <c r="O629" s="200"/>
      <c r="P629" s="200"/>
      <c r="Q629" s="200"/>
      <c r="R629" s="200"/>
      <c r="S629" s="200"/>
      <c r="T629" s="200"/>
    </row>
    <row r="630" ht="13.5" customHeight="1">
      <c r="A630" s="200"/>
      <c r="B630" s="200"/>
      <c r="C630" s="200"/>
      <c r="D630" s="200"/>
      <c r="E630" s="200"/>
      <c r="F630" s="200"/>
      <c r="G630" s="200"/>
      <c r="H630" s="200"/>
      <c r="I630" s="200"/>
      <c r="J630" s="200"/>
      <c r="K630" s="200"/>
      <c r="L630" s="200"/>
      <c r="M630" s="200"/>
      <c r="N630" s="200"/>
      <c r="O630" s="200"/>
      <c r="P630" s="200"/>
      <c r="Q630" s="200"/>
      <c r="R630" s="200"/>
      <c r="S630" s="200"/>
      <c r="T630" s="200"/>
    </row>
    <row r="631" ht="13.5" customHeight="1">
      <c r="A631" s="200"/>
      <c r="B631" s="200"/>
      <c r="C631" s="200"/>
      <c r="D631" s="200"/>
      <c r="E631" s="200"/>
      <c r="F631" s="200"/>
      <c r="G631" s="200"/>
      <c r="H631" s="200"/>
      <c r="I631" s="200"/>
      <c r="J631" s="200"/>
      <c r="K631" s="200"/>
      <c r="L631" s="200"/>
      <c r="M631" s="200"/>
      <c r="N631" s="200"/>
      <c r="O631" s="200"/>
      <c r="P631" s="200"/>
      <c r="Q631" s="200"/>
      <c r="R631" s="200"/>
      <c r="S631" s="200"/>
      <c r="T631" s="200"/>
    </row>
    <row r="632" ht="13.5" customHeight="1">
      <c r="A632" s="200"/>
      <c r="B632" s="200"/>
      <c r="C632" s="200"/>
      <c r="D632" s="200"/>
      <c r="E632" s="200"/>
      <c r="F632" s="200"/>
      <c r="G632" s="200"/>
      <c r="H632" s="200"/>
      <c r="I632" s="200"/>
      <c r="J632" s="200"/>
      <c r="K632" s="200"/>
      <c r="L632" s="200"/>
      <c r="M632" s="200"/>
      <c r="N632" s="200"/>
      <c r="O632" s="200"/>
      <c r="P632" s="200"/>
      <c r="Q632" s="200"/>
      <c r="R632" s="200"/>
      <c r="S632" s="200"/>
      <c r="T632" s="200"/>
    </row>
    <row r="633" ht="13.5" customHeight="1">
      <c r="A633" s="200"/>
      <c r="B633" s="200"/>
      <c r="C633" s="200"/>
      <c r="D633" s="200"/>
      <c r="E633" s="200"/>
      <c r="F633" s="200"/>
      <c r="G633" s="200"/>
      <c r="H633" s="200"/>
      <c r="I633" s="200"/>
      <c r="J633" s="200"/>
      <c r="K633" s="200"/>
      <c r="L633" s="200"/>
      <c r="M633" s="200"/>
      <c r="N633" s="200"/>
      <c r="O633" s="200"/>
      <c r="P633" s="200"/>
      <c r="Q633" s="200"/>
      <c r="R633" s="200"/>
      <c r="S633" s="200"/>
      <c r="T633" s="200"/>
    </row>
    <row r="634" ht="13.5" customHeight="1">
      <c r="A634" s="200"/>
      <c r="B634" s="200"/>
      <c r="C634" s="200"/>
      <c r="D634" s="200"/>
      <c r="E634" s="200"/>
      <c r="F634" s="200"/>
      <c r="G634" s="200"/>
      <c r="H634" s="200"/>
      <c r="I634" s="200"/>
      <c r="J634" s="200"/>
      <c r="K634" s="200"/>
      <c r="L634" s="200"/>
      <c r="M634" s="200"/>
      <c r="N634" s="200"/>
      <c r="O634" s="200"/>
      <c r="P634" s="200"/>
      <c r="Q634" s="200"/>
      <c r="R634" s="200"/>
      <c r="S634" s="200"/>
      <c r="T634" s="200"/>
    </row>
    <row r="635" ht="13.5" customHeight="1">
      <c r="A635" s="200"/>
      <c r="B635" s="200"/>
      <c r="C635" s="200"/>
      <c r="D635" s="200"/>
      <c r="E635" s="200"/>
      <c r="F635" s="200"/>
      <c r="G635" s="200"/>
      <c r="H635" s="200"/>
      <c r="I635" s="200"/>
      <c r="J635" s="200"/>
      <c r="K635" s="200"/>
      <c r="L635" s="200"/>
      <c r="M635" s="200"/>
      <c r="N635" s="200"/>
      <c r="O635" s="200"/>
      <c r="P635" s="200"/>
      <c r="Q635" s="200"/>
      <c r="R635" s="200"/>
      <c r="S635" s="200"/>
      <c r="T635" s="200"/>
    </row>
    <row r="636" ht="13.5" customHeight="1">
      <c r="A636" s="200"/>
      <c r="B636" s="200"/>
      <c r="C636" s="200"/>
      <c r="D636" s="200"/>
      <c r="E636" s="200"/>
      <c r="F636" s="200"/>
      <c r="G636" s="200"/>
      <c r="H636" s="200"/>
      <c r="I636" s="200"/>
      <c r="J636" s="200"/>
      <c r="K636" s="200"/>
      <c r="L636" s="200"/>
      <c r="M636" s="200"/>
      <c r="N636" s="200"/>
      <c r="O636" s="200"/>
      <c r="P636" s="200"/>
      <c r="Q636" s="200"/>
      <c r="R636" s="200"/>
      <c r="S636" s="200"/>
      <c r="T636" s="200"/>
    </row>
    <row r="637" ht="13.5" customHeight="1">
      <c r="A637" s="200"/>
      <c r="B637" s="200"/>
      <c r="C637" s="200"/>
      <c r="D637" s="200"/>
      <c r="E637" s="200"/>
      <c r="F637" s="200"/>
      <c r="G637" s="200"/>
      <c r="H637" s="200"/>
      <c r="I637" s="200"/>
      <c r="J637" s="200"/>
      <c r="K637" s="200"/>
      <c r="L637" s="200"/>
      <c r="M637" s="200"/>
      <c r="N637" s="200"/>
      <c r="O637" s="200"/>
      <c r="P637" s="200"/>
      <c r="Q637" s="200"/>
      <c r="R637" s="200"/>
      <c r="S637" s="200"/>
      <c r="T637" s="200"/>
    </row>
    <row r="638" ht="13.5" customHeight="1">
      <c r="A638" s="200"/>
      <c r="B638" s="200"/>
      <c r="C638" s="200"/>
      <c r="D638" s="200"/>
      <c r="E638" s="200"/>
      <c r="F638" s="200"/>
      <c r="G638" s="200"/>
      <c r="H638" s="200"/>
      <c r="I638" s="200"/>
      <c r="J638" s="200"/>
      <c r="K638" s="200"/>
      <c r="L638" s="200"/>
      <c r="M638" s="200"/>
      <c r="N638" s="200"/>
      <c r="O638" s="200"/>
      <c r="P638" s="200"/>
      <c r="Q638" s="200"/>
      <c r="R638" s="200"/>
      <c r="S638" s="200"/>
      <c r="T638" s="200"/>
    </row>
    <row r="639" ht="13.5" customHeight="1">
      <c r="A639" s="200"/>
      <c r="B639" s="200"/>
      <c r="C639" s="200"/>
      <c r="D639" s="200"/>
      <c r="E639" s="200"/>
      <c r="F639" s="200"/>
      <c r="G639" s="200"/>
      <c r="H639" s="200"/>
      <c r="I639" s="200"/>
      <c r="J639" s="200"/>
      <c r="K639" s="200"/>
      <c r="L639" s="200"/>
      <c r="M639" s="200"/>
      <c r="N639" s="200"/>
      <c r="O639" s="200"/>
      <c r="P639" s="200"/>
      <c r="Q639" s="200"/>
      <c r="R639" s="200"/>
      <c r="S639" s="200"/>
      <c r="T639" s="200"/>
    </row>
    <row r="640" ht="13.5" customHeight="1">
      <c r="A640" s="200"/>
      <c r="B640" s="200"/>
      <c r="C640" s="200"/>
      <c r="D640" s="200"/>
      <c r="E640" s="200"/>
      <c r="F640" s="200"/>
      <c r="G640" s="200"/>
      <c r="H640" s="200"/>
      <c r="I640" s="200"/>
      <c r="J640" s="200"/>
      <c r="K640" s="200"/>
      <c r="L640" s="200"/>
      <c r="M640" s="200"/>
      <c r="N640" s="200"/>
      <c r="O640" s="200"/>
      <c r="P640" s="200"/>
      <c r="Q640" s="200"/>
      <c r="R640" s="200"/>
      <c r="S640" s="200"/>
      <c r="T640" s="200"/>
    </row>
    <row r="641" ht="13.5" customHeight="1">
      <c r="A641" s="200"/>
      <c r="B641" s="200"/>
      <c r="C641" s="200"/>
      <c r="D641" s="200"/>
      <c r="E641" s="200"/>
      <c r="F641" s="200"/>
      <c r="G641" s="200"/>
      <c r="H641" s="200"/>
      <c r="I641" s="200"/>
      <c r="J641" s="200"/>
      <c r="K641" s="200"/>
      <c r="L641" s="200"/>
      <c r="M641" s="200"/>
      <c r="N641" s="200"/>
      <c r="O641" s="200"/>
      <c r="P641" s="200"/>
      <c r="Q641" s="200"/>
      <c r="R641" s="200"/>
      <c r="S641" s="200"/>
      <c r="T641" s="200"/>
    </row>
    <row r="642" ht="13.5" customHeight="1">
      <c r="A642" s="200"/>
      <c r="B642" s="200"/>
      <c r="C642" s="200"/>
      <c r="D642" s="200"/>
      <c r="E642" s="200"/>
      <c r="F642" s="200"/>
      <c r="G642" s="200"/>
      <c r="H642" s="200"/>
      <c r="I642" s="200"/>
      <c r="J642" s="200"/>
      <c r="K642" s="200"/>
      <c r="L642" s="200"/>
      <c r="M642" s="200"/>
      <c r="N642" s="200"/>
      <c r="O642" s="200"/>
      <c r="P642" s="200"/>
      <c r="Q642" s="200"/>
      <c r="R642" s="200"/>
      <c r="S642" s="200"/>
      <c r="T642" s="200"/>
    </row>
    <row r="643" ht="13.5" customHeight="1">
      <c r="A643" s="200"/>
      <c r="B643" s="200"/>
      <c r="C643" s="200"/>
      <c r="D643" s="200"/>
      <c r="E643" s="200"/>
      <c r="F643" s="200"/>
      <c r="G643" s="200"/>
      <c r="H643" s="200"/>
      <c r="I643" s="200"/>
      <c r="J643" s="200"/>
      <c r="K643" s="200"/>
      <c r="L643" s="200"/>
      <c r="M643" s="200"/>
      <c r="N643" s="200"/>
      <c r="O643" s="200"/>
      <c r="P643" s="200"/>
      <c r="Q643" s="200"/>
      <c r="R643" s="200"/>
      <c r="S643" s="200"/>
      <c r="T643" s="200"/>
    </row>
    <row r="644" ht="13.5" customHeight="1">
      <c r="A644" s="200"/>
      <c r="B644" s="200"/>
      <c r="C644" s="200"/>
      <c r="D644" s="200"/>
      <c r="E644" s="200"/>
      <c r="F644" s="200"/>
      <c r="G644" s="200"/>
      <c r="H644" s="200"/>
      <c r="I644" s="200"/>
      <c r="J644" s="200"/>
      <c r="K644" s="200"/>
      <c r="L644" s="200"/>
      <c r="M644" s="200"/>
      <c r="N644" s="200"/>
      <c r="O644" s="200"/>
      <c r="P644" s="200"/>
      <c r="Q644" s="200"/>
      <c r="R644" s="200"/>
      <c r="S644" s="200"/>
      <c r="T644" s="200"/>
    </row>
    <row r="645" ht="13.5" customHeight="1">
      <c r="A645" s="200"/>
      <c r="B645" s="200"/>
      <c r="C645" s="200"/>
      <c r="D645" s="200"/>
      <c r="E645" s="200"/>
      <c r="F645" s="200"/>
      <c r="G645" s="200"/>
      <c r="H645" s="200"/>
      <c r="I645" s="200"/>
      <c r="J645" s="200"/>
      <c r="K645" s="200"/>
      <c r="L645" s="200"/>
      <c r="M645" s="200"/>
      <c r="N645" s="200"/>
      <c r="O645" s="200"/>
      <c r="P645" s="200"/>
      <c r="Q645" s="200"/>
      <c r="R645" s="200"/>
      <c r="S645" s="200"/>
      <c r="T645" s="200"/>
    </row>
    <row r="646" ht="13.5" customHeight="1">
      <c r="A646" s="200"/>
      <c r="B646" s="200"/>
      <c r="C646" s="200"/>
      <c r="D646" s="200"/>
      <c r="E646" s="200"/>
      <c r="F646" s="200"/>
      <c r="G646" s="200"/>
      <c r="H646" s="200"/>
      <c r="I646" s="200"/>
      <c r="J646" s="200"/>
      <c r="K646" s="200"/>
      <c r="L646" s="200"/>
      <c r="M646" s="200"/>
      <c r="N646" s="200"/>
      <c r="O646" s="200"/>
      <c r="P646" s="200"/>
      <c r="Q646" s="200"/>
      <c r="R646" s="200"/>
      <c r="S646" s="200"/>
      <c r="T646" s="200"/>
    </row>
    <row r="647" ht="13.5" customHeight="1">
      <c r="A647" s="200"/>
      <c r="B647" s="200"/>
      <c r="C647" s="200"/>
      <c r="D647" s="200"/>
      <c r="E647" s="200"/>
      <c r="F647" s="200"/>
      <c r="G647" s="200"/>
      <c r="H647" s="200"/>
      <c r="I647" s="200"/>
      <c r="J647" s="200"/>
      <c r="K647" s="200"/>
      <c r="L647" s="200"/>
      <c r="M647" s="200"/>
      <c r="N647" s="200"/>
      <c r="O647" s="200"/>
      <c r="P647" s="200"/>
      <c r="Q647" s="200"/>
      <c r="R647" s="200"/>
      <c r="S647" s="200"/>
      <c r="T647" s="200"/>
    </row>
    <row r="648" ht="13.5" customHeight="1">
      <c r="A648" s="200"/>
      <c r="B648" s="200"/>
      <c r="C648" s="200"/>
      <c r="D648" s="200"/>
      <c r="E648" s="200"/>
      <c r="F648" s="200"/>
      <c r="G648" s="200"/>
      <c r="H648" s="200"/>
      <c r="I648" s="200"/>
      <c r="J648" s="200"/>
      <c r="K648" s="200"/>
      <c r="L648" s="200"/>
      <c r="M648" s="200"/>
      <c r="N648" s="200"/>
      <c r="O648" s="200"/>
      <c r="P648" s="200"/>
      <c r="Q648" s="200"/>
      <c r="R648" s="200"/>
      <c r="S648" s="200"/>
      <c r="T648" s="200"/>
    </row>
    <row r="649" ht="13.5" customHeight="1">
      <c r="A649" s="200"/>
      <c r="B649" s="200"/>
      <c r="C649" s="200"/>
      <c r="D649" s="200"/>
      <c r="E649" s="200"/>
      <c r="F649" s="200"/>
      <c r="G649" s="200"/>
      <c r="H649" s="200"/>
      <c r="I649" s="200"/>
      <c r="J649" s="200"/>
      <c r="K649" s="200"/>
      <c r="L649" s="200"/>
      <c r="M649" s="200"/>
      <c r="N649" s="200"/>
      <c r="O649" s="200"/>
      <c r="P649" s="200"/>
      <c r="Q649" s="200"/>
      <c r="R649" s="200"/>
      <c r="S649" s="200"/>
      <c r="T649" s="200"/>
    </row>
    <row r="650" ht="13.5" customHeight="1">
      <c r="A650" s="200"/>
      <c r="B650" s="200"/>
      <c r="C650" s="200"/>
      <c r="D650" s="200"/>
      <c r="E650" s="200"/>
      <c r="F650" s="200"/>
      <c r="G650" s="200"/>
      <c r="H650" s="200"/>
      <c r="I650" s="200"/>
      <c r="J650" s="200"/>
      <c r="K650" s="200"/>
      <c r="L650" s="200"/>
      <c r="M650" s="200"/>
      <c r="N650" s="200"/>
      <c r="O650" s="200"/>
      <c r="P650" s="200"/>
      <c r="Q650" s="200"/>
      <c r="R650" s="200"/>
      <c r="S650" s="200"/>
      <c r="T650" s="200"/>
    </row>
    <row r="651" ht="13.5" customHeight="1">
      <c r="A651" s="200"/>
      <c r="B651" s="200"/>
      <c r="C651" s="200"/>
      <c r="D651" s="200"/>
      <c r="E651" s="200"/>
      <c r="F651" s="200"/>
      <c r="G651" s="200"/>
      <c r="H651" s="200"/>
      <c r="I651" s="200"/>
      <c r="J651" s="200"/>
      <c r="K651" s="200"/>
      <c r="L651" s="200"/>
      <c r="M651" s="200"/>
      <c r="N651" s="200"/>
      <c r="O651" s="200"/>
      <c r="P651" s="200"/>
      <c r="Q651" s="200"/>
      <c r="R651" s="200"/>
      <c r="S651" s="200"/>
      <c r="T651" s="200"/>
    </row>
    <row r="652" ht="13.5" customHeight="1">
      <c r="A652" s="200"/>
      <c r="B652" s="200"/>
      <c r="C652" s="200"/>
      <c r="D652" s="200"/>
      <c r="E652" s="200"/>
      <c r="F652" s="200"/>
      <c r="G652" s="200"/>
      <c r="H652" s="200"/>
      <c r="I652" s="200"/>
      <c r="J652" s="200"/>
      <c r="K652" s="200"/>
      <c r="L652" s="200"/>
      <c r="M652" s="200"/>
      <c r="N652" s="200"/>
      <c r="O652" s="200"/>
      <c r="P652" s="200"/>
      <c r="Q652" s="200"/>
      <c r="R652" s="200"/>
      <c r="S652" s="200"/>
      <c r="T652" s="200"/>
    </row>
    <row r="653" ht="13.5" customHeight="1">
      <c r="A653" s="200"/>
      <c r="B653" s="200"/>
      <c r="C653" s="200"/>
      <c r="D653" s="200"/>
      <c r="E653" s="200"/>
      <c r="F653" s="200"/>
      <c r="G653" s="200"/>
      <c r="H653" s="200"/>
      <c r="I653" s="200"/>
      <c r="J653" s="200"/>
      <c r="K653" s="200"/>
      <c r="L653" s="200"/>
      <c r="M653" s="200"/>
      <c r="N653" s="200"/>
      <c r="O653" s="200"/>
      <c r="P653" s="200"/>
      <c r="Q653" s="200"/>
      <c r="R653" s="200"/>
      <c r="S653" s="200"/>
      <c r="T653" s="200"/>
    </row>
    <row r="654" ht="13.5" customHeight="1">
      <c r="A654" s="200"/>
      <c r="B654" s="200"/>
      <c r="C654" s="200"/>
      <c r="D654" s="200"/>
      <c r="E654" s="200"/>
      <c r="F654" s="200"/>
      <c r="G654" s="200"/>
      <c r="H654" s="200"/>
      <c r="I654" s="200"/>
      <c r="J654" s="200"/>
      <c r="K654" s="200"/>
      <c r="L654" s="200"/>
      <c r="M654" s="200"/>
      <c r="N654" s="200"/>
      <c r="O654" s="200"/>
      <c r="P654" s="200"/>
      <c r="Q654" s="200"/>
      <c r="R654" s="200"/>
      <c r="S654" s="200"/>
      <c r="T654" s="200"/>
    </row>
    <row r="655" ht="13.5" customHeight="1">
      <c r="A655" s="200"/>
      <c r="B655" s="200"/>
      <c r="C655" s="200"/>
      <c r="D655" s="200"/>
      <c r="E655" s="200"/>
      <c r="F655" s="200"/>
      <c r="G655" s="200"/>
      <c r="H655" s="200"/>
      <c r="I655" s="200"/>
      <c r="J655" s="200"/>
      <c r="K655" s="200"/>
      <c r="L655" s="200"/>
      <c r="M655" s="200"/>
      <c r="N655" s="200"/>
      <c r="O655" s="200"/>
      <c r="P655" s="200"/>
      <c r="Q655" s="200"/>
      <c r="R655" s="200"/>
      <c r="S655" s="200"/>
      <c r="T655" s="200"/>
    </row>
    <row r="656" ht="13.5" customHeight="1">
      <c r="A656" s="200"/>
      <c r="B656" s="200"/>
      <c r="C656" s="200"/>
      <c r="D656" s="200"/>
      <c r="E656" s="200"/>
      <c r="F656" s="200"/>
      <c r="G656" s="200"/>
      <c r="H656" s="200"/>
      <c r="I656" s="200"/>
      <c r="J656" s="200"/>
      <c r="K656" s="200"/>
      <c r="L656" s="200"/>
      <c r="M656" s="200"/>
      <c r="N656" s="200"/>
      <c r="O656" s="200"/>
      <c r="P656" s="200"/>
      <c r="Q656" s="200"/>
      <c r="R656" s="200"/>
      <c r="S656" s="200"/>
      <c r="T656" s="200"/>
    </row>
    <row r="657" ht="13.5" customHeight="1">
      <c r="A657" s="200"/>
      <c r="B657" s="200"/>
      <c r="C657" s="200"/>
      <c r="D657" s="200"/>
      <c r="E657" s="200"/>
      <c r="F657" s="200"/>
      <c r="G657" s="200"/>
      <c r="H657" s="200"/>
      <c r="I657" s="200"/>
      <c r="J657" s="200"/>
      <c r="K657" s="200"/>
      <c r="L657" s="200"/>
      <c r="M657" s="200"/>
      <c r="N657" s="200"/>
      <c r="O657" s="200"/>
      <c r="P657" s="200"/>
      <c r="Q657" s="200"/>
      <c r="R657" s="200"/>
      <c r="S657" s="200"/>
      <c r="T657" s="200"/>
    </row>
    <row r="658" ht="13.5" customHeight="1">
      <c r="A658" s="200"/>
      <c r="B658" s="200"/>
      <c r="C658" s="200"/>
      <c r="D658" s="200"/>
      <c r="E658" s="200"/>
      <c r="F658" s="200"/>
      <c r="G658" s="200"/>
      <c r="H658" s="200"/>
      <c r="I658" s="200"/>
      <c r="J658" s="200"/>
      <c r="K658" s="200"/>
      <c r="L658" s="200"/>
      <c r="M658" s="200"/>
      <c r="N658" s="200"/>
      <c r="O658" s="200"/>
      <c r="P658" s="200"/>
      <c r="Q658" s="200"/>
      <c r="R658" s="200"/>
      <c r="S658" s="200"/>
      <c r="T658" s="200"/>
    </row>
    <row r="659" ht="13.5" customHeight="1">
      <c r="A659" s="200"/>
      <c r="B659" s="200"/>
      <c r="C659" s="200"/>
      <c r="D659" s="200"/>
      <c r="E659" s="200"/>
      <c r="F659" s="200"/>
      <c r="G659" s="200"/>
      <c r="H659" s="200"/>
      <c r="I659" s="200"/>
      <c r="J659" s="200"/>
      <c r="K659" s="200"/>
      <c r="L659" s="200"/>
      <c r="M659" s="200"/>
      <c r="N659" s="200"/>
      <c r="O659" s="200"/>
      <c r="P659" s="200"/>
      <c r="Q659" s="200"/>
      <c r="R659" s="200"/>
      <c r="S659" s="200"/>
      <c r="T659" s="200"/>
    </row>
    <row r="660" ht="13.5" customHeight="1">
      <c r="A660" s="200"/>
      <c r="B660" s="200"/>
      <c r="C660" s="200"/>
      <c r="D660" s="200"/>
      <c r="E660" s="200"/>
      <c r="F660" s="200"/>
      <c r="G660" s="200"/>
      <c r="H660" s="200"/>
      <c r="I660" s="200"/>
      <c r="J660" s="200"/>
      <c r="K660" s="200"/>
      <c r="L660" s="200"/>
      <c r="M660" s="200"/>
      <c r="N660" s="200"/>
      <c r="O660" s="200"/>
      <c r="P660" s="200"/>
      <c r="Q660" s="200"/>
      <c r="R660" s="200"/>
      <c r="S660" s="200"/>
      <c r="T660" s="200"/>
    </row>
    <row r="661" ht="13.5" customHeight="1">
      <c r="A661" s="200"/>
      <c r="B661" s="200"/>
      <c r="C661" s="200"/>
      <c r="D661" s="200"/>
      <c r="E661" s="200"/>
      <c r="F661" s="200"/>
      <c r="G661" s="200"/>
      <c r="H661" s="200"/>
      <c r="I661" s="200"/>
      <c r="J661" s="200"/>
      <c r="K661" s="200"/>
      <c r="L661" s="200"/>
      <c r="M661" s="200"/>
      <c r="N661" s="200"/>
      <c r="O661" s="200"/>
      <c r="P661" s="200"/>
      <c r="Q661" s="200"/>
      <c r="R661" s="200"/>
      <c r="S661" s="200"/>
      <c r="T661" s="200"/>
    </row>
    <row r="662" ht="13.5" customHeight="1">
      <c r="A662" s="200"/>
      <c r="B662" s="200"/>
      <c r="C662" s="200"/>
      <c r="D662" s="200"/>
      <c r="E662" s="200"/>
      <c r="F662" s="200"/>
      <c r="G662" s="200"/>
      <c r="H662" s="200"/>
      <c r="I662" s="200"/>
      <c r="J662" s="200"/>
      <c r="K662" s="200"/>
      <c r="L662" s="200"/>
      <c r="M662" s="200"/>
      <c r="N662" s="200"/>
      <c r="O662" s="200"/>
      <c r="P662" s="200"/>
      <c r="Q662" s="200"/>
      <c r="R662" s="200"/>
      <c r="S662" s="200"/>
      <c r="T662" s="200"/>
    </row>
    <row r="663" ht="13.5" customHeight="1">
      <c r="A663" s="200"/>
      <c r="B663" s="200"/>
      <c r="C663" s="200"/>
      <c r="D663" s="200"/>
      <c r="E663" s="200"/>
      <c r="F663" s="200"/>
      <c r="G663" s="200"/>
      <c r="H663" s="200"/>
      <c r="I663" s="200"/>
      <c r="J663" s="200"/>
      <c r="K663" s="200"/>
      <c r="L663" s="200"/>
      <c r="M663" s="200"/>
      <c r="N663" s="200"/>
      <c r="O663" s="200"/>
      <c r="P663" s="200"/>
      <c r="Q663" s="200"/>
      <c r="R663" s="200"/>
      <c r="S663" s="200"/>
      <c r="T663" s="200"/>
    </row>
    <row r="664" ht="13.5" customHeight="1">
      <c r="A664" s="200"/>
      <c r="B664" s="200"/>
      <c r="C664" s="200"/>
      <c r="D664" s="200"/>
      <c r="E664" s="200"/>
      <c r="F664" s="200"/>
      <c r="G664" s="200"/>
      <c r="H664" s="200"/>
      <c r="I664" s="200"/>
      <c r="J664" s="200"/>
      <c r="K664" s="200"/>
      <c r="L664" s="200"/>
      <c r="M664" s="200"/>
      <c r="N664" s="200"/>
      <c r="O664" s="200"/>
      <c r="P664" s="200"/>
      <c r="Q664" s="200"/>
      <c r="R664" s="200"/>
      <c r="S664" s="200"/>
      <c r="T664" s="200"/>
    </row>
    <row r="665" ht="13.5" customHeight="1">
      <c r="A665" s="200"/>
      <c r="B665" s="200"/>
      <c r="C665" s="200"/>
      <c r="D665" s="200"/>
      <c r="E665" s="200"/>
      <c r="F665" s="200"/>
      <c r="G665" s="200"/>
      <c r="H665" s="200"/>
      <c r="I665" s="200"/>
      <c r="J665" s="200"/>
      <c r="K665" s="200"/>
      <c r="L665" s="200"/>
      <c r="M665" s="200"/>
      <c r="N665" s="200"/>
      <c r="O665" s="200"/>
      <c r="P665" s="200"/>
      <c r="Q665" s="200"/>
      <c r="R665" s="200"/>
      <c r="S665" s="200"/>
      <c r="T665" s="200"/>
    </row>
    <row r="666" ht="13.5" customHeight="1">
      <c r="A666" s="200"/>
      <c r="B666" s="200"/>
      <c r="C666" s="200"/>
      <c r="D666" s="200"/>
      <c r="E666" s="200"/>
      <c r="F666" s="200"/>
      <c r="G666" s="200"/>
      <c r="H666" s="200"/>
      <c r="I666" s="200"/>
      <c r="J666" s="200"/>
      <c r="K666" s="200"/>
      <c r="L666" s="200"/>
      <c r="M666" s="200"/>
      <c r="N666" s="200"/>
      <c r="O666" s="200"/>
      <c r="P666" s="200"/>
      <c r="Q666" s="200"/>
      <c r="R666" s="200"/>
      <c r="S666" s="200"/>
      <c r="T666" s="200"/>
    </row>
    <row r="667" ht="13.5" customHeight="1">
      <c r="A667" s="200"/>
      <c r="B667" s="200"/>
      <c r="C667" s="200"/>
      <c r="D667" s="200"/>
      <c r="E667" s="200"/>
      <c r="F667" s="200"/>
      <c r="G667" s="200"/>
      <c r="H667" s="200"/>
      <c r="I667" s="200"/>
      <c r="J667" s="200"/>
      <c r="K667" s="200"/>
      <c r="L667" s="200"/>
      <c r="M667" s="200"/>
      <c r="N667" s="200"/>
      <c r="O667" s="200"/>
      <c r="P667" s="200"/>
      <c r="Q667" s="200"/>
      <c r="R667" s="200"/>
      <c r="S667" s="200"/>
      <c r="T667" s="200"/>
    </row>
    <row r="668" ht="13.5" customHeight="1">
      <c r="A668" s="200"/>
      <c r="B668" s="200"/>
      <c r="C668" s="200"/>
      <c r="D668" s="200"/>
      <c r="E668" s="200"/>
      <c r="F668" s="200"/>
      <c r="G668" s="200"/>
      <c r="H668" s="200"/>
      <c r="I668" s="200"/>
      <c r="J668" s="200"/>
      <c r="K668" s="200"/>
      <c r="L668" s="200"/>
      <c r="M668" s="200"/>
      <c r="N668" s="200"/>
      <c r="O668" s="200"/>
      <c r="P668" s="200"/>
      <c r="Q668" s="200"/>
      <c r="R668" s="200"/>
      <c r="S668" s="200"/>
      <c r="T668" s="200"/>
    </row>
    <row r="669" ht="13.5" customHeight="1">
      <c r="A669" s="200"/>
      <c r="B669" s="200"/>
      <c r="C669" s="200"/>
      <c r="D669" s="200"/>
      <c r="E669" s="200"/>
      <c r="F669" s="200"/>
      <c r="G669" s="200"/>
      <c r="H669" s="200"/>
      <c r="I669" s="200"/>
      <c r="J669" s="200"/>
      <c r="K669" s="200"/>
      <c r="L669" s="200"/>
      <c r="M669" s="200"/>
      <c r="N669" s="200"/>
      <c r="O669" s="200"/>
      <c r="P669" s="200"/>
      <c r="Q669" s="200"/>
      <c r="R669" s="200"/>
      <c r="S669" s="200"/>
      <c r="T669" s="200"/>
    </row>
    <row r="670" ht="13.5" customHeight="1">
      <c r="A670" s="200"/>
      <c r="B670" s="200"/>
      <c r="C670" s="200"/>
      <c r="D670" s="200"/>
      <c r="E670" s="200"/>
      <c r="F670" s="200"/>
      <c r="G670" s="200"/>
      <c r="H670" s="200"/>
      <c r="I670" s="200"/>
      <c r="J670" s="200"/>
      <c r="K670" s="200"/>
      <c r="L670" s="200"/>
      <c r="M670" s="200"/>
      <c r="N670" s="200"/>
      <c r="O670" s="200"/>
      <c r="P670" s="200"/>
      <c r="Q670" s="200"/>
      <c r="R670" s="200"/>
      <c r="S670" s="200"/>
      <c r="T670" s="200"/>
    </row>
    <row r="671" ht="13.5" customHeight="1">
      <c r="A671" s="200"/>
      <c r="B671" s="200"/>
      <c r="C671" s="200"/>
      <c r="D671" s="200"/>
      <c r="E671" s="200"/>
      <c r="F671" s="200"/>
      <c r="G671" s="200"/>
      <c r="H671" s="200"/>
      <c r="I671" s="200"/>
      <c r="J671" s="200"/>
      <c r="K671" s="200"/>
      <c r="L671" s="200"/>
      <c r="M671" s="200"/>
      <c r="N671" s="200"/>
      <c r="O671" s="200"/>
      <c r="P671" s="200"/>
      <c r="Q671" s="200"/>
      <c r="R671" s="200"/>
      <c r="S671" s="200"/>
      <c r="T671" s="200"/>
    </row>
    <row r="672" ht="13.5" customHeight="1">
      <c r="A672" s="200"/>
      <c r="B672" s="200"/>
      <c r="C672" s="200"/>
      <c r="D672" s="200"/>
      <c r="E672" s="200"/>
      <c r="F672" s="200"/>
      <c r="G672" s="200"/>
      <c r="H672" s="200"/>
      <c r="I672" s="200"/>
      <c r="J672" s="200"/>
      <c r="K672" s="200"/>
      <c r="L672" s="200"/>
      <c r="M672" s="200"/>
      <c r="N672" s="200"/>
      <c r="O672" s="200"/>
      <c r="P672" s="200"/>
      <c r="Q672" s="200"/>
      <c r="R672" s="200"/>
      <c r="S672" s="200"/>
      <c r="T672" s="200"/>
    </row>
    <row r="673" ht="13.5" customHeight="1">
      <c r="A673" s="200"/>
      <c r="B673" s="200"/>
      <c r="C673" s="200"/>
      <c r="D673" s="200"/>
      <c r="E673" s="200"/>
      <c r="F673" s="200"/>
      <c r="G673" s="200"/>
      <c r="H673" s="200"/>
      <c r="I673" s="200"/>
      <c r="J673" s="200"/>
      <c r="K673" s="200"/>
      <c r="L673" s="200"/>
      <c r="M673" s="200"/>
      <c r="N673" s="200"/>
      <c r="O673" s="200"/>
      <c r="P673" s="200"/>
      <c r="Q673" s="200"/>
      <c r="R673" s="200"/>
      <c r="S673" s="200"/>
      <c r="T673" s="200"/>
    </row>
    <row r="674" ht="13.5" customHeight="1">
      <c r="A674" s="200"/>
      <c r="B674" s="200"/>
      <c r="C674" s="200"/>
      <c r="D674" s="200"/>
      <c r="E674" s="200"/>
      <c r="F674" s="200"/>
      <c r="G674" s="200"/>
      <c r="H674" s="200"/>
      <c r="I674" s="200"/>
      <c r="J674" s="200"/>
      <c r="K674" s="200"/>
      <c r="L674" s="200"/>
      <c r="M674" s="200"/>
      <c r="N674" s="200"/>
      <c r="O674" s="200"/>
      <c r="P674" s="200"/>
      <c r="Q674" s="200"/>
      <c r="R674" s="200"/>
      <c r="S674" s="200"/>
      <c r="T674" s="200"/>
    </row>
    <row r="675" ht="13.5" customHeight="1">
      <c r="A675" s="200"/>
      <c r="B675" s="200"/>
      <c r="C675" s="200"/>
      <c r="D675" s="200"/>
      <c r="E675" s="200"/>
      <c r="F675" s="200"/>
      <c r="G675" s="200"/>
      <c r="H675" s="200"/>
      <c r="I675" s="200"/>
      <c r="J675" s="200"/>
      <c r="K675" s="200"/>
      <c r="L675" s="200"/>
      <c r="M675" s="200"/>
      <c r="N675" s="200"/>
      <c r="O675" s="200"/>
      <c r="P675" s="200"/>
      <c r="Q675" s="200"/>
      <c r="R675" s="200"/>
      <c r="S675" s="200"/>
      <c r="T675" s="200"/>
    </row>
    <row r="676" ht="13.5" customHeight="1">
      <c r="A676" s="200"/>
      <c r="B676" s="200"/>
      <c r="C676" s="200"/>
      <c r="D676" s="200"/>
      <c r="E676" s="200"/>
      <c r="F676" s="200"/>
      <c r="G676" s="200"/>
      <c r="H676" s="200"/>
      <c r="I676" s="200"/>
      <c r="J676" s="200"/>
      <c r="K676" s="200"/>
      <c r="L676" s="200"/>
      <c r="M676" s="200"/>
      <c r="N676" s="200"/>
      <c r="O676" s="200"/>
      <c r="P676" s="200"/>
      <c r="Q676" s="200"/>
      <c r="R676" s="200"/>
      <c r="S676" s="200"/>
      <c r="T676" s="200"/>
    </row>
    <row r="677" ht="13.5" customHeight="1">
      <c r="A677" s="200"/>
      <c r="B677" s="200"/>
      <c r="C677" s="200"/>
      <c r="D677" s="200"/>
      <c r="E677" s="200"/>
      <c r="F677" s="200"/>
      <c r="G677" s="200"/>
      <c r="H677" s="200"/>
      <c r="I677" s="200"/>
      <c r="J677" s="200"/>
      <c r="K677" s="200"/>
      <c r="L677" s="200"/>
      <c r="M677" s="200"/>
      <c r="N677" s="200"/>
      <c r="O677" s="200"/>
      <c r="P677" s="200"/>
      <c r="Q677" s="200"/>
      <c r="R677" s="200"/>
      <c r="S677" s="200"/>
      <c r="T677" s="200"/>
    </row>
    <row r="678" ht="13.5" customHeight="1">
      <c r="A678" s="200"/>
      <c r="B678" s="200"/>
      <c r="C678" s="200"/>
      <c r="D678" s="200"/>
      <c r="E678" s="200"/>
      <c r="F678" s="200"/>
      <c r="G678" s="200"/>
      <c r="H678" s="200"/>
      <c r="I678" s="200"/>
      <c r="J678" s="200"/>
      <c r="K678" s="200"/>
      <c r="L678" s="200"/>
      <c r="M678" s="200"/>
      <c r="N678" s="200"/>
      <c r="O678" s="200"/>
      <c r="P678" s="200"/>
      <c r="Q678" s="200"/>
      <c r="R678" s="200"/>
      <c r="S678" s="200"/>
      <c r="T678" s="200"/>
    </row>
    <row r="679" ht="13.5" customHeight="1">
      <c r="A679" s="200"/>
      <c r="B679" s="200"/>
      <c r="C679" s="200"/>
      <c r="D679" s="200"/>
      <c r="E679" s="200"/>
      <c r="F679" s="200"/>
      <c r="G679" s="200"/>
      <c r="H679" s="200"/>
      <c r="I679" s="200"/>
      <c r="J679" s="200"/>
      <c r="K679" s="200"/>
      <c r="L679" s="200"/>
      <c r="M679" s="200"/>
      <c r="N679" s="200"/>
      <c r="O679" s="200"/>
      <c r="P679" s="200"/>
      <c r="Q679" s="200"/>
      <c r="R679" s="200"/>
      <c r="S679" s="200"/>
      <c r="T679" s="200"/>
    </row>
    <row r="680" ht="13.5" customHeight="1">
      <c r="A680" s="200"/>
      <c r="B680" s="200"/>
      <c r="C680" s="200"/>
      <c r="D680" s="200"/>
      <c r="E680" s="200"/>
      <c r="F680" s="200"/>
      <c r="G680" s="200"/>
      <c r="H680" s="200"/>
      <c r="I680" s="200"/>
      <c r="J680" s="200"/>
      <c r="K680" s="200"/>
      <c r="L680" s="200"/>
      <c r="M680" s="200"/>
      <c r="N680" s="200"/>
      <c r="O680" s="200"/>
      <c r="P680" s="200"/>
      <c r="Q680" s="200"/>
      <c r="R680" s="200"/>
      <c r="S680" s="200"/>
      <c r="T680" s="200"/>
    </row>
    <row r="681" ht="13.5" customHeight="1">
      <c r="A681" s="200"/>
      <c r="B681" s="200"/>
      <c r="C681" s="200"/>
      <c r="D681" s="200"/>
      <c r="E681" s="200"/>
      <c r="F681" s="200"/>
      <c r="G681" s="200"/>
      <c r="H681" s="200"/>
      <c r="I681" s="200"/>
      <c r="J681" s="200"/>
      <c r="K681" s="200"/>
      <c r="L681" s="200"/>
      <c r="M681" s="200"/>
      <c r="N681" s="200"/>
      <c r="O681" s="200"/>
      <c r="P681" s="200"/>
      <c r="Q681" s="200"/>
      <c r="R681" s="200"/>
      <c r="S681" s="200"/>
      <c r="T681" s="200"/>
    </row>
    <row r="682" ht="13.5" customHeight="1">
      <c r="A682" s="200"/>
      <c r="B682" s="200"/>
      <c r="C682" s="200"/>
      <c r="D682" s="200"/>
      <c r="E682" s="200"/>
      <c r="F682" s="200"/>
      <c r="G682" s="200"/>
      <c r="H682" s="200"/>
      <c r="I682" s="200"/>
      <c r="J682" s="200"/>
      <c r="K682" s="200"/>
      <c r="L682" s="200"/>
      <c r="M682" s="200"/>
      <c r="N682" s="200"/>
      <c r="O682" s="200"/>
      <c r="P682" s="200"/>
      <c r="Q682" s="200"/>
      <c r="R682" s="200"/>
      <c r="S682" s="200"/>
      <c r="T682" s="200"/>
    </row>
    <row r="683" ht="13.5" customHeight="1">
      <c r="A683" s="200"/>
      <c r="B683" s="200"/>
      <c r="C683" s="200"/>
      <c r="D683" s="200"/>
      <c r="E683" s="200"/>
      <c r="F683" s="200"/>
      <c r="G683" s="200"/>
      <c r="H683" s="200"/>
      <c r="I683" s="200"/>
      <c r="J683" s="200"/>
      <c r="K683" s="200"/>
      <c r="L683" s="200"/>
      <c r="M683" s="200"/>
      <c r="N683" s="200"/>
      <c r="O683" s="200"/>
      <c r="P683" s="200"/>
      <c r="Q683" s="200"/>
      <c r="R683" s="200"/>
      <c r="S683" s="200"/>
      <c r="T683" s="200"/>
    </row>
    <row r="684" ht="13.5" customHeight="1">
      <c r="A684" s="200"/>
      <c r="B684" s="200"/>
      <c r="C684" s="200"/>
      <c r="D684" s="200"/>
      <c r="E684" s="200"/>
      <c r="F684" s="200"/>
      <c r="G684" s="200"/>
      <c r="H684" s="200"/>
      <c r="I684" s="200"/>
      <c r="J684" s="200"/>
      <c r="K684" s="200"/>
      <c r="L684" s="200"/>
      <c r="M684" s="200"/>
      <c r="N684" s="200"/>
      <c r="O684" s="200"/>
      <c r="P684" s="200"/>
      <c r="Q684" s="200"/>
      <c r="R684" s="200"/>
      <c r="S684" s="200"/>
      <c r="T684" s="200"/>
    </row>
    <row r="685" ht="13.5" customHeight="1">
      <c r="A685" s="200"/>
      <c r="B685" s="200"/>
      <c r="C685" s="200"/>
      <c r="D685" s="200"/>
      <c r="E685" s="200"/>
      <c r="F685" s="200"/>
      <c r="G685" s="200"/>
      <c r="H685" s="200"/>
      <c r="I685" s="200"/>
      <c r="J685" s="200"/>
      <c r="K685" s="200"/>
      <c r="L685" s="200"/>
      <c r="M685" s="200"/>
      <c r="N685" s="200"/>
      <c r="O685" s="200"/>
      <c r="P685" s="200"/>
      <c r="Q685" s="200"/>
      <c r="R685" s="200"/>
      <c r="S685" s="200"/>
      <c r="T685" s="200"/>
    </row>
    <row r="686" ht="13.5" customHeight="1">
      <c r="A686" s="200"/>
      <c r="B686" s="200"/>
      <c r="C686" s="200"/>
      <c r="D686" s="200"/>
      <c r="E686" s="200"/>
      <c r="F686" s="200"/>
      <c r="G686" s="200"/>
      <c r="H686" s="200"/>
      <c r="I686" s="200"/>
      <c r="J686" s="200"/>
      <c r="K686" s="200"/>
      <c r="L686" s="200"/>
      <c r="M686" s="200"/>
      <c r="N686" s="200"/>
      <c r="O686" s="200"/>
      <c r="P686" s="200"/>
      <c r="Q686" s="200"/>
      <c r="R686" s="200"/>
      <c r="S686" s="200"/>
      <c r="T686" s="200"/>
    </row>
    <row r="687" ht="13.5" customHeight="1">
      <c r="A687" s="200"/>
      <c r="B687" s="200"/>
      <c r="C687" s="200"/>
      <c r="D687" s="200"/>
      <c r="E687" s="200"/>
      <c r="F687" s="200"/>
      <c r="G687" s="200"/>
      <c r="H687" s="200"/>
      <c r="I687" s="200"/>
      <c r="J687" s="200"/>
      <c r="K687" s="200"/>
      <c r="L687" s="200"/>
      <c r="M687" s="200"/>
      <c r="N687" s="200"/>
      <c r="O687" s="200"/>
      <c r="P687" s="200"/>
      <c r="Q687" s="200"/>
      <c r="R687" s="200"/>
      <c r="S687" s="200"/>
      <c r="T687" s="200"/>
    </row>
    <row r="688" ht="13.5" customHeight="1">
      <c r="A688" s="200"/>
      <c r="B688" s="200"/>
      <c r="C688" s="200"/>
      <c r="D688" s="200"/>
      <c r="E688" s="200"/>
      <c r="F688" s="200"/>
      <c r="G688" s="200"/>
      <c r="H688" s="200"/>
      <c r="I688" s="200"/>
      <c r="J688" s="200"/>
      <c r="K688" s="200"/>
      <c r="L688" s="200"/>
      <c r="M688" s="200"/>
      <c r="N688" s="200"/>
      <c r="O688" s="200"/>
      <c r="P688" s="200"/>
      <c r="Q688" s="200"/>
      <c r="R688" s="200"/>
      <c r="S688" s="200"/>
      <c r="T688" s="200"/>
    </row>
    <row r="689" ht="13.5" customHeight="1">
      <c r="A689" s="200"/>
      <c r="B689" s="200"/>
      <c r="C689" s="200"/>
      <c r="D689" s="200"/>
      <c r="E689" s="200"/>
      <c r="F689" s="200"/>
      <c r="G689" s="200"/>
      <c r="H689" s="200"/>
      <c r="I689" s="200"/>
      <c r="J689" s="200"/>
      <c r="K689" s="200"/>
      <c r="L689" s="200"/>
      <c r="M689" s="200"/>
      <c r="N689" s="200"/>
      <c r="O689" s="200"/>
      <c r="P689" s="200"/>
      <c r="Q689" s="200"/>
      <c r="R689" s="200"/>
      <c r="S689" s="200"/>
      <c r="T689" s="200"/>
    </row>
    <row r="690" ht="13.5" customHeight="1">
      <c r="A690" s="200"/>
      <c r="B690" s="200"/>
      <c r="C690" s="200"/>
      <c r="D690" s="200"/>
      <c r="E690" s="200"/>
      <c r="F690" s="200"/>
      <c r="G690" s="200"/>
      <c r="H690" s="200"/>
      <c r="I690" s="200"/>
      <c r="J690" s="200"/>
      <c r="K690" s="200"/>
      <c r="L690" s="200"/>
      <c r="M690" s="200"/>
      <c r="N690" s="200"/>
      <c r="O690" s="200"/>
      <c r="P690" s="200"/>
      <c r="Q690" s="200"/>
      <c r="R690" s="200"/>
      <c r="S690" s="200"/>
      <c r="T690" s="200"/>
    </row>
    <row r="691" ht="13.5" customHeight="1">
      <c r="A691" s="200"/>
      <c r="B691" s="200"/>
      <c r="C691" s="200"/>
      <c r="D691" s="200"/>
      <c r="E691" s="200"/>
      <c r="F691" s="200"/>
      <c r="G691" s="200"/>
      <c r="H691" s="200"/>
      <c r="I691" s="200"/>
      <c r="J691" s="200"/>
      <c r="K691" s="200"/>
      <c r="L691" s="200"/>
      <c r="M691" s="200"/>
      <c r="N691" s="200"/>
      <c r="O691" s="200"/>
      <c r="P691" s="200"/>
      <c r="Q691" s="200"/>
      <c r="R691" s="200"/>
      <c r="S691" s="200"/>
      <c r="T691" s="200"/>
    </row>
    <row r="692" ht="13.5" customHeight="1">
      <c r="A692" s="200"/>
      <c r="B692" s="200"/>
      <c r="C692" s="200"/>
      <c r="D692" s="200"/>
      <c r="E692" s="200"/>
      <c r="F692" s="200"/>
      <c r="G692" s="200"/>
      <c r="H692" s="200"/>
      <c r="I692" s="200"/>
      <c r="J692" s="200"/>
      <c r="K692" s="200"/>
      <c r="L692" s="200"/>
      <c r="M692" s="200"/>
      <c r="N692" s="200"/>
      <c r="O692" s="200"/>
      <c r="P692" s="200"/>
      <c r="Q692" s="200"/>
      <c r="R692" s="200"/>
      <c r="S692" s="200"/>
      <c r="T692" s="200"/>
    </row>
    <row r="693" ht="13.5" customHeight="1">
      <c r="A693" s="200"/>
      <c r="B693" s="200"/>
      <c r="C693" s="200"/>
      <c r="D693" s="200"/>
      <c r="E693" s="200"/>
      <c r="F693" s="200"/>
      <c r="G693" s="200"/>
      <c r="H693" s="200"/>
      <c r="I693" s="200"/>
      <c r="J693" s="200"/>
      <c r="K693" s="200"/>
      <c r="L693" s="200"/>
      <c r="M693" s="200"/>
      <c r="N693" s="200"/>
      <c r="O693" s="200"/>
      <c r="P693" s="200"/>
      <c r="Q693" s="200"/>
      <c r="R693" s="200"/>
      <c r="S693" s="200"/>
      <c r="T693" s="200"/>
    </row>
    <row r="694" ht="13.5" customHeight="1">
      <c r="A694" s="200"/>
      <c r="B694" s="200"/>
      <c r="C694" s="200"/>
      <c r="D694" s="200"/>
      <c r="E694" s="200"/>
      <c r="F694" s="200"/>
      <c r="G694" s="200"/>
      <c r="H694" s="200"/>
      <c r="I694" s="200"/>
      <c r="J694" s="200"/>
      <c r="K694" s="200"/>
      <c r="L694" s="200"/>
      <c r="M694" s="200"/>
      <c r="N694" s="200"/>
      <c r="O694" s="200"/>
      <c r="P694" s="200"/>
      <c r="Q694" s="200"/>
      <c r="R694" s="200"/>
      <c r="S694" s="200"/>
      <c r="T694" s="200"/>
    </row>
    <row r="695" ht="13.5" customHeight="1">
      <c r="A695" s="200"/>
      <c r="B695" s="200"/>
      <c r="C695" s="200"/>
      <c r="D695" s="200"/>
      <c r="E695" s="200"/>
      <c r="F695" s="200"/>
      <c r="G695" s="200"/>
      <c r="H695" s="200"/>
      <c r="I695" s="200"/>
      <c r="J695" s="200"/>
      <c r="K695" s="200"/>
      <c r="L695" s="200"/>
      <c r="M695" s="200"/>
      <c r="N695" s="200"/>
      <c r="O695" s="200"/>
      <c r="P695" s="200"/>
      <c r="Q695" s="200"/>
      <c r="R695" s="200"/>
      <c r="S695" s="200"/>
      <c r="T695" s="200"/>
    </row>
    <row r="696" ht="13.5" customHeight="1">
      <c r="A696" s="200"/>
      <c r="B696" s="200"/>
      <c r="C696" s="200"/>
      <c r="D696" s="200"/>
      <c r="E696" s="200"/>
      <c r="F696" s="200"/>
      <c r="G696" s="200"/>
      <c r="H696" s="200"/>
      <c r="I696" s="200"/>
      <c r="J696" s="200"/>
      <c r="K696" s="200"/>
      <c r="L696" s="200"/>
      <c r="M696" s="200"/>
      <c r="N696" s="200"/>
      <c r="O696" s="200"/>
      <c r="P696" s="200"/>
      <c r="Q696" s="200"/>
      <c r="R696" s="200"/>
      <c r="S696" s="200"/>
      <c r="T696" s="200"/>
    </row>
    <row r="697" ht="13.5" customHeight="1">
      <c r="A697" s="200"/>
      <c r="B697" s="200"/>
      <c r="C697" s="200"/>
      <c r="D697" s="200"/>
      <c r="E697" s="200"/>
      <c r="F697" s="200"/>
      <c r="G697" s="200"/>
      <c r="H697" s="200"/>
      <c r="I697" s="200"/>
      <c r="J697" s="200"/>
      <c r="K697" s="200"/>
      <c r="L697" s="200"/>
      <c r="M697" s="200"/>
      <c r="N697" s="200"/>
      <c r="O697" s="200"/>
      <c r="P697" s="200"/>
      <c r="Q697" s="200"/>
      <c r="R697" s="200"/>
      <c r="S697" s="200"/>
      <c r="T697" s="200"/>
    </row>
    <row r="698" ht="13.5" customHeight="1">
      <c r="A698" s="200"/>
      <c r="B698" s="200"/>
      <c r="C698" s="200"/>
      <c r="D698" s="200"/>
      <c r="E698" s="200"/>
      <c r="F698" s="200"/>
      <c r="G698" s="200"/>
      <c r="H698" s="200"/>
      <c r="I698" s="200"/>
      <c r="J698" s="200"/>
      <c r="K698" s="200"/>
      <c r="L698" s="200"/>
      <c r="M698" s="200"/>
      <c r="N698" s="200"/>
      <c r="O698" s="200"/>
      <c r="P698" s="200"/>
      <c r="Q698" s="200"/>
      <c r="R698" s="200"/>
      <c r="S698" s="200"/>
      <c r="T698" s="200"/>
    </row>
    <row r="699" ht="13.5" customHeight="1">
      <c r="A699" s="200"/>
      <c r="B699" s="200"/>
      <c r="C699" s="200"/>
      <c r="D699" s="200"/>
      <c r="E699" s="200"/>
      <c r="F699" s="200"/>
      <c r="G699" s="200"/>
      <c r="H699" s="200"/>
      <c r="I699" s="200"/>
      <c r="J699" s="200"/>
      <c r="K699" s="200"/>
      <c r="L699" s="200"/>
      <c r="M699" s="200"/>
      <c r="N699" s="200"/>
      <c r="O699" s="200"/>
      <c r="P699" s="200"/>
      <c r="Q699" s="200"/>
      <c r="R699" s="200"/>
      <c r="S699" s="200"/>
      <c r="T699" s="200"/>
    </row>
    <row r="700" ht="13.5" customHeight="1">
      <c r="A700" s="200"/>
      <c r="B700" s="200"/>
      <c r="C700" s="200"/>
      <c r="D700" s="200"/>
      <c r="E700" s="200"/>
      <c r="F700" s="200"/>
      <c r="G700" s="200"/>
      <c r="H700" s="200"/>
      <c r="I700" s="200"/>
      <c r="J700" s="200"/>
      <c r="K700" s="200"/>
      <c r="L700" s="200"/>
      <c r="M700" s="200"/>
      <c r="N700" s="200"/>
      <c r="O700" s="200"/>
      <c r="P700" s="200"/>
      <c r="Q700" s="200"/>
      <c r="R700" s="200"/>
      <c r="S700" s="200"/>
      <c r="T700" s="200"/>
    </row>
    <row r="701" ht="13.5" customHeight="1">
      <c r="A701" s="200"/>
      <c r="B701" s="200"/>
      <c r="C701" s="200"/>
      <c r="D701" s="200"/>
      <c r="E701" s="200"/>
      <c r="F701" s="200"/>
      <c r="G701" s="200"/>
      <c r="H701" s="200"/>
      <c r="I701" s="200"/>
      <c r="J701" s="200"/>
      <c r="K701" s="200"/>
      <c r="L701" s="200"/>
      <c r="M701" s="200"/>
      <c r="N701" s="200"/>
      <c r="O701" s="200"/>
      <c r="P701" s="200"/>
      <c r="Q701" s="200"/>
      <c r="R701" s="200"/>
      <c r="S701" s="200"/>
      <c r="T701" s="200"/>
    </row>
    <row r="702" ht="13.5" customHeight="1">
      <c r="A702" s="200"/>
      <c r="B702" s="200"/>
      <c r="C702" s="200"/>
      <c r="D702" s="200"/>
      <c r="E702" s="200"/>
      <c r="F702" s="200"/>
      <c r="G702" s="200"/>
      <c r="H702" s="200"/>
      <c r="I702" s="200"/>
      <c r="J702" s="200"/>
      <c r="K702" s="200"/>
      <c r="L702" s="200"/>
      <c r="M702" s="200"/>
      <c r="N702" s="200"/>
      <c r="O702" s="200"/>
      <c r="P702" s="200"/>
      <c r="Q702" s="200"/>
      <c r="R702" s="200"/>
      <c r="S702" s="200"/>
      <c r="T702" s="200"/>
    </row>
    <row r="703" ht="13.5" customHeight="1">
      <c r="A703" s="200"/>
      <c r="B703" s="200"/>
      <c r="C703" s="200"/>
      <c r="D703" s="200"/>
      <c r="E703" s="200"/>
      <c r="F703" s="200"/>
      <c r="G703" s="200"/>
      <c r="H703" s="200"/>
      <c r="I703" s="200"/>
      <c r="J703" s="200"/>
      <c r="K703" s="200"/>
      <c r="L703" s="200"/>
      <c r="M703" s="200"/>
      <c r="N703" s="200"/>
      <c r="O703" s="200"/>
      <c r="P703" s="200"/>
      <c r="Q703" s="200"/>
      <c r="R703" s="200"/>
      <c r="S703" s="200"/>
      <c r="T703" s="200"/>
    </row>
    <row r="704" ht="13.5" customHeight="1">
      <c r="A704" s="200"/>
      <c r="B704" s="200"/>
      <c r="C704" s="200"/>
      <c r="D704" s="200"/>
      <c r="E704" s="200"/>
      <c r="F704" s="200"/>
      <c r="G704" s="200"/>
      <c r="H704" s="200"/>
      <c r="I704" s="200"/>
      <c r="J704" s="200"/>
      <c r="K704" s="200"/>
      <c r="L704" s="200"/>
      <c r="M704" s="200"/>
      <c r="N704" s="200"/>
      <c r="O704" s="200"/>
      <c r="P704" s="200"/>
      <c r="Q704" s="200"/>
      <c r="R704" s="200"/>
      <c r="S704" s="200"/>
      <c r="T704" s="200"/>
    </row>
    <row r="705" ht="13.5" customHeight="1">
      <c r="A705" s="200"/>
      <c r="B705" s="200"/>
      <c r="C705" s="200"/>
      <c r="D705" s="200"/>
      <c r="E705" s="200"/>
      <c r="F705" s="200"/>
      <c r="G705" s="200"/>
      <c r="H705" s="200"/>
      <c r="I705" s="200"/>
      <c r="J705" s="200"/>
      <c r="K705" s="200"/>
      <c r="L705" s="200"/>
      <c r="M705" s="200"/>
      <c r="N705" s="200"/>
      <c r="O705" s="200"/>
      <c r="P705" s="200"/>
      <c r="Q705" s="200"/>
      <c r="R705" s="200"/>
      <c r="S705" s="200"/>
      <c r="T705" s="200"/>
    </row>
    <row r="706" ht="13.5" customHeight="1">
      <c r="A706" s="200"/>
      <c r="B706" s="200"/>
      <c r="C706" s="200"/>
      <c r="D706" s="200"/>
      <c r="E706" s="200"/>
      <c r="F706" s="200"/>
      <c r="G706" s="200"/>
      <c r="H706" s="200"/>
      <c r="I706" s="200"/>
      <c r="J706" s="200"/>
      <c r="K706" s="200"/>
      <c r="L706" s="200"/>
      <c r="M706" s="200"/>
      <c r="N706" s="200"/>
      <c r="O706" s="200"/>
      <c r="P706" s="200"/>
      <c r="Q706" s="200"/>
      <c r="R706" s="200"/>
      <c r="S706" s="200"/>
      <c r="T706" s="200"/>
    </row>
    <row r="707" ht="13.5" customHeight="1">
      <c r="A707" s="200"/>
      <c r="B707" s="200"/>
      <c r="C707" s="200"/>
      <c r="D707" s="200"/>
      <c r="E707" s="200"/>
      <c r="F707" s="200"/>
      <c r="G707" s="200"/>
      <c r="H707" s="200"/>
      <c r="I707" s="200"/>
      <c r="J707" s="200"/>
      <c r="K707" s="200"/>
      <c r="L707" s="200"/>
      <c r="M707" s="200"/>
      <c r="N707" s="200"/>
      <c r="O707" s="200"/>
      <c r="P707" s="200"/>
      <c r="Q707" s="200"/>
      <c r="R707" s="200"/>
      <c r="S707" s="200"/>
      <c r="T707" s="200"/>
    </row>
    <row r="708" ht="13.5" customHeight="1">
      <c r="A708" s="200"/>
      <c r="B708" s="200"/>
      <c r="C708" s="200"/>
      <c r="D708" s="200"/>
      <c r="E708" s="200"/>
      <c r="F708" s="200"/>
      <c r="G708" s="200"/>
      <c r="H708" s="200"/>
      <c r="I708" s="200"/>
      <c r="J708" s="200"/>
      <c r="K708" s="200"/>
      <c r="L708" s="200"/>
      <c r="M708" s="200"/>
      <c r="N708" s="200"/>
      <c r="O708" s="200"/>
      <c r="P708" s="200"/>
      <c r="Q708" s="200"/>
      <c r="R708" s="200"/>
      <c r="S708" s="200"/>
      <c r="T708" s="200"/>
    </row>
    <row r="709" ht="13.5" customHeight="1">
      <c r="A709" s="200"/>
      <c r="B709" s="200"/>
      <c r="C709" s="200"/>
      <c r="D709" s="200"/>
      <c r="E709" s="200"/>
      <c r="F709" s="200"/>
      <c r="G709" s="200"/>
      <c r="H709" s="200"/>
      <c r="I709" s="200"/>
      <c r="J709" s="200"/>
      <c r="K709" s="200"/>
      <c r="L709" s="200"/>
      <c r="M709" s="200"/>
      <c r="N709" s="200"/>
      <c r="O709" s="200"/>
      <c r="P709" s="200"/>
      <c r="Q709" s="200"/>
      <c r="R709" s="200"/>
      <c r="S709" s="200"/>
      <c r="T709" s="200"/>
    </row>
    <row r="710" ht="13.5" customHeight="1">
      <c r="A710" s="200"/>
      <c r="B710" s="200"/>
      <c r="C710" s="200"/>
      <c r="D710" s="200"/>
      <c r="E710" s="200"/>
      <c r="F710" s="200"/>
      <c r="G710" s="200"/>
      <c r="H710" s="200"/>
      <c r="I710" s="200"/>
      <c r="J710" s="200"/>
      <c r="K710" s="200"/>
      <c r="L710" s="200"/>
      <c r="M710" s="200"/>
      <c r="N710" s="200"/>
      <c r="O710" s="200"/>
      <c r="P710" s="200"/>
      <c r="Q710" s="200"/>
      <c r="R710" s="200"/>
      <c r="S710" s="200"/>
      <c r="T710" s="200"/>
    </row>
    <row r="711" ht="13.5" customHeight="1">
      <c r="A711" s="200"/>
      <c r="B711" s="200"/>
      <c r="C711" s="200"/>
      <c r="D711" s="200"/>
      <c r="E711" s="200"/>
      <c r="F711" s="200"/>
      <c r="G711" s="200"/>
      <c r="H711" s="200"/>
      <c r="I711" s="200"/>
      <c r="J711" s="200"/>
      <c r="K711" s="200"/>
      <c r="L711" s="200"/>
      <c r="M711" s="200"/>
      <c r="N711" s="200"/>
      <c r="O711" s="200"/>
      <c r="P711" s="200"/>
      <c r="Q711" s="200"/>
      <c r="R711" s="200"/>
      <c r="S711" s="200"/>
      <c r="T711" s="200"/>
    </row>
    <row r="712" ht="13.5" customHeight="1">
      <c r="A712" s="200"/>
      <c r="B712" s="200"/>
      <c r="C712" s="200"/>
      <c r="D712" s="200"/>
      <c r="E712" s="200"/>
      <c r="F712" s="200"/>
      <c r="G712" s="200"/>
      <c r="H712" s="200"/>
      <c r="I712" s="200"/>
      <c r="J712" s="200"/>
      <c r="K712" s="200"/>
      <c r="L712" s="200"/>
      <c r="M712" s="200"/>
      <c r="N712" s="200"/>
      <c r="O712" s="200"/>
      <c r="P712" s="200"/>
      <c r="Q712" s="200"/>
      <c r="R712" s="200"/>
      <c r="S712" s="200"/>
      <c r="T712" s="200"/>
    </row>
    <row r="713" ht="13.5" customHeight="1">
      <c r="A713" s="200"/>
      <c r="B713" s="200"/>
      <c r="C713" s="200"/>
      <c r="D713" s="200"/>
      <c r="E713" s="200"/>
      <c r="F713" s="200"/>
      <c r="G713" s="200"/>
      <c r="H713" s="200"/>
      <c r="I713" s="200"/>
      <c r="J713" s="200"/>
      <c r="K713" s="200"/>
      <c r="L713" s="200"/>
      <c r="M713" s="200"/>
      <c r="N713" s="200"/>
      <c r="O713" s="200"/>
      <c r="P713" s="200"/>
      <c r="Q713" s="200"/>
      <c r="R713" s="200"/>
      <c r="S713" s="200"/>
      <c r="T713" s="200"/>
    </row>
    <row r="714" ht="13.5" customHeight="1">
      <c r="A714" s="200"/>
      <c r="B714" s="200"/>
      <c r="C714" s="200"/>
      <c r="D714" s="200"/>
      <c r="E714" s="200"/>
      <c r="F714" s="200"/>
      <c r="G714" s="200"/>
      <c r="H714" s="200"/>
      <c r="I714" s="200"/>
      <c r="J714" s="200"/>
      <c r="K714" s="200"/>
      <c r="L714" s="200"/>
      <c r="M714" s="200"/>
      <c r="N714" s="200"/>
      <c r="O714" s="200"/>
      <c r="P714" s="200"/>
      <c r="Q714" s="200"/>
      <c r="R714" s="200"/>
      <c r="S714" s="200"/>
      <c r="T714" s="200"/>
    </row>
    <row r="715" ht="13.5" customHeight="1">
      <c r="A715" s="200"/>
      <c r="B715" s="200"/>
      <c r="C715" s="200"/>
      <c r="D715" s="200"/>
      <c r="E715" s="200"/>
      <c r="F715" s="200"/>
      <c r="G715" s="200"/>
      <c r="H715" s="200"/>
      <c r="I715" s="200"/>
      <c r="J715" s="200"/>
      <c r="K715" s="200"/>
      <c r="L715" s="200"/>
      <c r="M715" s="200"/>
      <c r="N715" s="200"/>
      <c r="O715" s="200"/>
      <c r="P715" s="200"/>
      <c r="Q715" s="200"/>
      <c r="R715" s="200"/>
      <c r="S715" s="200"/>
      <c r="T715" s="200"/>
    </row>
    <row r="716" ht="13.5" customHeight="1">
      <c r="A716" s="200"/>
      <c r="B716" s="200"/>
      <c r="C716" s="200"/>
      <c r="D716" s="200"/>
      <c r="E716" s="200"/>
      <c r="F716" s="200"/>
      <c r="G716" s="200"/>
      <c r="H716" s="200"/>
      <c r="I716" s="200"/>
      <c r="J716" s="200"/>
      <c r="K716" s="200"/>
      <c r="L716" s="200"/>
      <c r="M716" s="200"/>
      <c r="N716" s="200"/>
      <c r="O716" s="200"/>
      <c r="P716" s="200"/>
      <c r="Q716" s="200"/>
      <c r="R716" s="200"/>
      <c r="S716" s="200"/>
      <c r="T716" s="200"/>
    </row>
    <row r="717" ht="13.5" customHeight="1">
      <c r="A717" s="200"/>
      <c r="B717" s="200"/>
      <c r="C717" s="200"/>
      <c r="D717" s="200"/>
      <c r="E717" s="200"/>
      <c r="F717" s="200"/>
      <c r="G717" s="200"/>
      <c r="H717" s="200"/>
      <c r="I717" s="200"/>
      <c r="J717" s="200"/>
      <c r="K717" s="200"/>
      <c r="L717" s="200"/>
      <c r="M717" s="200"/>
      <c r="N717" s="200"/>
      <c r="O717" s="200"/>
      <c r="P717" s="200"/>
      <c r="Q717" s="200"/>
      <c r="R717" s="200"/>
      <c r="S717" s="200"/>
      <c r="T717" s="200"/>
    </row>
    <row r="718" ht="13.5" customHeight="1">
      <c r="A718" s="200"/>
      <c r="B718" s="200"/>
      <c r="C718" s="200"/>
      <c r="D718" s="200"/>
      <c r="E718" s="200"/>
      <c r="F718" s="200"/>
      <c r="G718" s="200"/>
      <c r="H718" s="200"/>
      <c r="I718" s="200"/>
      <c r="J718" s="200"/>
      <c r="K718" s="200"/>
      <c r="L718" s="200"/>
      <c r="M718" s="200"/>
      <c r="N718" s="200"/>
      <c r="O718" s="200"/>
      <c r="P718" s="200"/>
      <c r="Q718" s="200"/>
      <c r="R718" s="200"/>
      <c r="S718" s="200"/>
      <c r="T718" s="200"/>
    </row>
    <row r="719" ht="13.5" customHeight="1">
      <c r="A719" s="200"/>
      <c r="B719" s="200"/>
      <c r="C719" s="200"/>
      <c r="D719" s="200"/>
      <c r="E719" s="200"/>
      <c r="F719" s="200"/>
      <c r="G719" s="200"/>
      <c r="H719" s="200"/>
      <c r="I719" s="200"/>
      <c r="J719" s="200"/>
      <c r="K719" s="200"/>
      <c r="L719" s="200"/>
      <c r="M719" s="200"/>
      <c r="N719" s="200"/>
      <c r="O719" s="200"/>
      <c r="P719" s="200"/>
      <c r="Q719" s="200"/>
      <c r="R719" s="200"/>
      <c r="S719" s="200"/>
      <c r="T719" s="200"/>
    </row>
    <row r="720" ht="13.5" customHeight="1">
      <c r="A720" s="200"/>
      <c r="B720" s="200"/>
      <c r="C720" s="200"/>
      <c r="D720" s="200"/>
      <c r="E720" s="200"/>
      <c r="F720" s="200"/>
      <c r="G720" s="200"/>
      <c r="H720" s="200"/>
      <c r="I720" s="200"/>
      <c r="J720" s="200"/>
      <c r="K720" s="200"/>
      <c r="L720" s="200"/>
      <c r="M720" s="200"/>
      <c r="N720" s="200"/>
      <c r="O720" s="200"/>
      <c r="P720" s="200"/>
      <c r="Q720" s="200"/>
      <c r="R720" s="200"/>
      <c r="S720" s="200"/>
      <c r="T720" s="200"/>
    </row>
    <row r="721" ht="13.5" customHeight="1">
      <c r="A721" s="200"/>
      <c r="B721" s="200"/>
      <c r="C721" s="200"/>
      <c r="D721" s="200"/>
      <c r="E721" s="200"/>
      <c r="F721" s="200"/>
      <c r="G721" s="200"/>
      <c r="H721" s="200"/>
      <c r="I721" s="200"/>
      <c r="J721" s="200"/>
      <c r="K721" s="200"/>
      <c r="L721" s="200"/>
      <c r="M721" s="200"/>
      <c r="N721" s="200"/>
      <c r="O721" s="200"/>
      <c r="P721" s="200"/>
      <c r="Q721" s="200"/>
      <c r="R721" s="200"/>
      <c r="S721" s="200"/>
      <c r="T721" s="200"/>
    </row>
    <row r="722" ht="13.5" customHeight="1">
      <c r="A722" s="200"/>
      <c r="B722" s="200"/>
      <c r="C722" s="200"/>
      <c r="D722" s="200"/>
      <c r="E722" s="200"/>
      <c r="F722" s="200"/>
      <c r="G722" s="200"/>
      <c r="H722" s="200"/>
      <c r="I722" s="200"/>
      <c r="J722" s="200"/>
      <c r="K722" s="200"/>
      <c r="L722" s="200"/>
      <c r="M722" s="200"/>
      <c r="N722" s="200"/>
      <c r="O722" s="200"/>
      <c r="P722" s="200"/>
      <c r="Q722" s="200"/>
      <c r="R722" s="200"/>
      <c r="S722" s="200"/>
      <c r="T722" s="200"/>
    </row>
    <row r="723" ht="13.5" customHeight="1">
      <c r="A723" s="200"/>
      <c r="B723" s="200"/>
      <c r="C723" s="200"/>
      <c r="D723" s="200"/>
      <c r="E723" s="200"/>
      <c r="F723" s="200"/>
      <c r="G723" s="200"/>
      <c r="H723" s="200"/>
      <c r="I723" s="200"/>
      <c r="J723" s="200"/>
      <c r="K723" s="200"/>
      <c r="L723" s="200"/>
      <c r="M723" s="200"/>
      <c r="N723" s="200"/>
      <c r="O723" s="200"/>
      <c r="P723" s="200"/>
      <c r="Q723" s="200"/>
      <c r="R723" s="200"/>
      <c r="S723" s="200"/>
      <c r="T723" s="200"/>
    </row>
    <row r="724" ht="13.5" customHeight="1">
      <c r="A724" s="200"/>
      <c r="B724" s="200"/>
      <c r="C724" s="200"/>
      <c r="D724" s="200"/>
      <c r="E724" s="200"/>
      <c r="F724" s="200"/>
      <c r="G724" s="200"/>
      <c r="H724" s="200"/>
      <c r="I724" s="200"/>
      <c r="J724" s="200"/>
      <c r="K724" s="200"/>
      <c r="L724" s="200"/>
      <c r="M724" s="200"/>
      <c r="N724" s="200"/>
      <c r="O724" s="200"/>
      <c r="P724" s="200"/>
      <c r="Q724" s="200"/>
      <c r="R724" s="200"/>
      <c r="S724" s="200"/>
      <c r="T724" s="200"/>
    </row>
    <row r="725" ht="13.5" customHeight="1">
      <c r="A725" s="200"/>
      <c r="B725" s="200"/>
      <c r="C725" s="200"/>
      <c r="D725" s="200"/>
      <c r="E725" s="200"/>
      <c r="F725" s="200"/>
      <c r="G725" s="200"/>
      <c r="H725" s="200"/>
      <c r="I725" s="200"/>
      <c r="J725" s="200"/>
      <c r="K725" s="200"/>
      <c r="L725" s="200"/>
      <c r="M725" s="200"/>
      <c r="N725" s="200"/>
      <c r="O725" s="200"/>
      <c r="P725" s="200"/>
      <c r="Q725" s="200"/>
      <c r="R725" s="200"/>
      <c r="S725" s="200"/>
      <c r="T725" s="200"/>
    </row>
    <row r="726" ht="13.5" customHeight="1">
      <c r="A726" s="200"/>
      <c r="B726" s="200"/>
      <c r="C726" s="200"/>
      <c r="D726" s="200"/>
      <c r="E726" s="200"/>
      <c r="F726" s="200"/>
      <c r="G726" s="200"/>
      <c r="H726" s="200"/>
      <c r="I726" s="200"/>
      <c r="J726" s="200"/>
      <c r="K726" s="200"/>
      <c r="L726" s="200"/>
      <c r="M726" s="200"/>
      <c r="N726" s="200"/>
      <c r="O726" s="200"/>
      <c r="P726" s="200"/>
      <c r="Q726" s="200"/>
      <c r="R726" s="200"/>
      <c r="S726" s="200"/>
      <c r="T726" s="200"/>
    </row>
    <row r="727" ht="13.5" customHeight="1">
      <c r="A727" s="200"/>
      <c r="B727" s="200"/>
      <c r="C727" s="200"/>
      <c r="D727" s="200"/>
      <c r="E727" s="200"/>
      <c r="F727" s="200"/>
      <c r="G727" s="200"/>
      <c r="H727" s="200"/>
      <c r="I727" s="200"/>
      <c r="J727" s="200"/>
      <c r="K727" s="200"/>
      <c r="L727" s="200"/>
      <c r="M727" s="200"/>
      <c r="N727" s="200"/>
      <c r="O727" s="200"/>
      <c r="P727" s="200"/>
      <c r="Q727" s="200"/>
      <c r="R727" s="200"/>
      <c r="S727" s="200"/>
      <c r="T727" s="200"/>
    </row>
    <row r="728" ht="13.5" customHeight="1">
      <c r="A728" s="200"/>
      <c r="B728" s="200"/>
      <c r="C728" s="200"/>
      <c r="D728" s="200"/>
      <c r="E728" s="200"/>
      <c r="F728" s="200"/>
      <c r="G728" s="200"/>
      <c r="H728" s="200"/>
      <c r="I728" s="200"/>
      <c r="J728" s="200"/>
      <c r="K728" s="200"/>
      <c r="L728" s="200"/>
      <c r="M728" s="200"/>
      <c r="N728" s="200"/>
      <c r="O728" s="200"/>
      <c r="P728" s="200"/>
      <c r="Q728" s="200"/>
      <c r="R728" s="200"/>
      <c r="S728" s="200"/>
      <c r="T728" s="200"/>
    </row>
    <row r="729" ht="13.5" customHeight="1">
      <c r="A729" s="200"/>
      <c r="B729" s="200"/>
      <c r="C729" s="200"/>
      <c r="D729" s="200"/>
      <c r="E729" s="200"/>
      <c r="F729" s="200"/>
      <c r="G729" s="200"/>
      <c r="H729" s="200"/>
      <c r="I729" s="200"/>
      <c r="J729" s="200"/>
      <c r="K729" s="200"/>
      <c r="L729" s="200"/>
      <c r="M729" s="200"/>
      <c r="N729" s="200"/>
      <c r="O729" s="200"/>
      <c r="P729" s="200"/>
      <c r="Q729" s="200"/>
      <c r="R729" s="200"/>
      <c r="S729" s="200"/>
      <c r="T729" s="200"/>
    </row>
    <row r="730" ht="13.5" customHeight="1">
      <c r="A730" s="200"/>
      <c r="B730" s="200"/>
      <c r="C730" s="200"/>
      <c r="D730" s="200"/>
      <c r="E730" s="200"/>
      <c r="F730" s="200"/>
      <c r="G730" s="200"/>
      <c r="H730" s="200"/>
      <c r="I730" s="200"/>
      <c r="J730" s="200"/>
      <c r="K730" s="200"/>
      <c r="L730" s="200"/>
      <c r="M730" s="200"/>
      <c r="N730" s="200"/>
      <c r="O730" s="200"/>
      <c r="P730" s="200"/>
      <c r="Q730" s="200"/>
      <c r="R730" s="200"/>
      <c r="S730" s="200"/>
      <c r="T730" s="200"/>
    </row>
    <row r="731" ht="13.5" customHeight="1">
      <c r="A731" s="200"/>
      <c r="B731" s="200"/>
      <c r="C731" s="200"/>
      <c r="D731" s="200"/>
      <c r="E731" s="200"/>
      <c r="F731" s="200"/>
      <c r="G731" s="200"/>
      <c r="H731" s="200"/>
      <c r="I731" s="200"/>
      <c r="J731" s="200"/>
      <c r="K731" s="200"/>
      <c r="L731" s="200"/>
      <c r="M731" s="200"/>
      <c r="N731" s="200"/>
      <c r="O731" s="200"/>
      <c r="P731" s="200"/>
      <c r="Q731" s="200"/>
      <c r="R731" s="200"/>
      <c r="S731" s="200"/>
      <c r="T731" s="200"/>
    </row>
    <row r="732" ht="13.5" customHeight="1">
      <c r="A732" s="200"/>
      <c r="B732" s="200"/>
      <c r="C732" s="200"/>
      <c r="D732" s="200"/>
      <c r="E732" s="200"/>
      <c r="F732" s="200"/>
      <c r="G732" s="200"/>
      <c r="H732" s="200"/>
      <c r="I732" s="200"/>
      <c r="J732" s="200"/>
      <c r="K732" s="200"/>
      <c r="L732" s="200"/>
      <c r="M732" s="200"/>
      <c r="N732" s="200"/>
      <c r="O732" s="200"/>
      <c r="P732" s="200"/>
      <c r="Q732" s="200"/>
      <c r="R732" s="200"/>
      <c r="S732" s="200"/>
      <c r="T732" s="200"/>
    </row>
    <row r="733" ht="13.5" customHeight="1">
      <c r="A733" s="200"/>
      <c r="B733" s="200"/>
      <c r="C733" s="200"/>
      <c r="D733" s="200"/>
      <c r="E733" s="200"/>
      <c r="F733" s="200"/>
      <c r="G733" s="200"/>
      <c r="H733" s="200"/>
      <c r="I733" s="200"/>
      <c r="J733" s="200"/>
      <c r="K733" s="200"/>
      <c r="L733" s="200"/>
      <c r="M733" s="200"/>
      <c r="N733" s="200"/>
      <c r="O733" s="200"/>
      <c r="P733" s="200"/>
      <c r="Q733" s="200"/>
      <c r="R733" s="200"/>
      <c r="S733" s="200"/>
      <c r="T733" s="200"/>
    </row>
    <row r="734" ht="13.5" customHeight="1">
      <c r="A734" s="200"/>
      <c r="B734" s="200"/>
      <c r="C734" s="200"/>
      <c r="D734" s="200"/>
      <c r="E734" s="200"/>
      <c r="F734" s="200"/>
      <c r="G734" s="200"/>
      <c r="H734" s="200"/>
      <c r="I734" s="200"/>
      <c r="J734" s="200"/>
      <c r="K734" s="200"/>
      <c r="L734" s="200"/>
      <c r="M734" s="200"/>
      <c r="N734" s="200"/>
      <c r="O734" s="200"/>
      <c r="P734" s="200"/>
      <c r="Q734" s="200"/>
      <c r="R734" s="200"/>
      <c r="S734" s="200"/>
      <c r="T734" s="200"/>
    </row>
    <row r="735" ht="13.5" customHeight="1">
      <c r="A735" s="200"/>
      <c r="B735" s="200"/>
      <c r="C735" s="200"/>
      <c r="D735" s="200"/>
      <c r="E735" s="200"/>
      <c r="F735" s="200"/>
      <c r="G735" s="200"/>
      <c r="H735" s="200"/>
      <c r="I735" s="200"/>
      <c r="J735" s="200"/>
      <c r="K735" s="200"/>
      <c r="L735" s="200"/>
      <c r="M735" s="200"/>
      <c r="N735" s="200"/>
      <c r="O735" s="200"/>
      <c r="P735" s="200"/>
      <c r="Q735" s="200"/>
      <c r="R735" s="200"/>
      <c r="S735" s="200"/>
      <c r="T735" s="200"/>
    </row>
    <row r="736" ht="13.5" customHeight="1">
      <c r="A736" s="200"/>
      <c r="B736" s="200"/>
      <c r="C736" s="200"/>
      <c r="D736" s="200"/>
      <c r="E736" s="200"/>
      <c r="F736" s="200"/>
      <c r="G736" s="200"/>
      <c r="H736" s="200"/>
      <c r="I736" s="200"/>
      <c r="J736" s="200"/>
      <c r="K736" s="200"/>
      <c r="L736" s="200"/>
      <c r="M736" s="200"/>
      <c r="N736" s="200"/>
      <c r="O736" s="200"/>
      <c r="P736" s="200"/>
      <c r="Q736" s="200"/>
      <c r="R736" s="200"/>
      <c r="S736" s="200"/>
      <c r="T736" s="200"/>
    </row>
    <row r="737" ht="13.5" customHeight="1">
      <c r="A737" s="200"/>
      <c r="B737" s="200"/>
      <c r="C737" s="200"/>
      <c r="D737" s="200"/>
      <c r="E737" s="200"/>
      <c r="F737" s="200"/>
      <c r="G737" s="200"/>
      <c r="H737" s="200"/>
      <c r="I737" s="200"/>
      <c r="J737" s="200"/>
      <c r="K737" s="200"/>
      <c r="L737" s="200"/>
      <c r="M737" s="200"/>
      <c r="N737" s="200"/>
      <c r="O737" s="200"/>
      <c r="P737" s="200"/>
      <c r="Q737" s="200"/>
      <c r="R737" s="200"/>
      <c r="S737" s="200"/>
      <c r="T737" s="200"/>
    </row>
    <row r="738" ht="13.5" customHeight="1">
      <c r="A738" s="200"/>
      <c r="B738" s="200"/>
      <c r="C738" s="200"/>
      <c r="D738" s="200"/>
      <c r="E738" s="200"/>
      <c r="F738" s="200"/>
      <c r="G738" s="200"/>
      <c r="H738" s="200"/>
      <c r="I738" s="200"/>
      <c r="J738" s="200"/>
      <c r="K738" s="200"/>
      <c r="L738" s="200"/>
      <c r="M738" s="200"/>
      <c r="N738" s="200"/>
      <c r="O738" s="200"/>
      <c r="P738" s="200"/>
      <c r="Q738" s="200"/>
      <c r="R738" s="200"/>
      <c r="S738" s="200"/>
      <c r="T738" s="200"/>
    </row>
    <row r="739" ht="13.5" customHeight="1">
      <c r="A739" s="200"/>
      <c r="B739" s="200"/>
      <c r="C739" s="200"/>
      <c r="D739" s="200"/>
      <c r="E739" s="200"/>
      <c r="F739" s="200"/>
      <c r="G739" s="200"/>
      <c r="H739" s="200"/>
      <c r="I739" s="200"/>
      <c r="J739" s="200"/>
      <c r="K739" s="200"/>
      <c r="L739" s="200"/>
      <c r="M739" s="200"/>
      <c r="N739" s="200"/>
      <c r="O739" s="200"/>
      <c r="P739" s="200"/>
      <c r="Q739" s="200"/>
      <c r="R739" s="200"/>
      <c r="S739" s="200"/>
      <c r="T739" s="200"/>
    </row>
    <row r="740" ht="13.5" customHeight="1">
      <c r="A740" s="200"/>
      <c r="B740" s="200"/>
      <c r="C740" s="200"/>
      <c r="D740" s="200"/>
      <c r="E740" s="200"/>
      <c r="F740" s="200"/>
      <c r="G740" s="200"/>
      <c r="H740" s="200"/>
      <c r="I740" s="200"/>
      <c r="J740" s="200"/>
      <c r="K740" s="200"/>
      <c r="L740" s="200"/>
      <c r="M740" s="200"/>
      <c r="N740" s="200"/>
      <c r="O740" s="200"/>
      <c r="P740" s="200"/>
      <c r="Q740" s="200"/>
      <c r="R740" s="200"/>
      <c r="S740" s="200"/>
      <c r="T740" s="200"/>
    </row>
    <row r="741" ht="13.5" customHeight="1">
      <c r="A741" s="200"/>
      <c r="B741" s="200"/>
      <c r="C741" s="200"/>
      <c r="D741" s="200"/>
      <c r="E741" s="200"/>
      <c r="F741" s="200"/>
      <c r="G741" s="200"/>
      <c r="H741" s="200"/>
      <c r="I741" s="200"/>
      <c r="J741" s="200"/>
      <c r="K741" s="200"/>
      <c r="L741" s="200"/>
      <c r="M741" s="200"/>
      <c r="N741" s="200"/>
      <c r="O741" s="200"/>
      <c r="P741" s="200"/>
      <c r="Q741" s="200"/>
      <c r="R741" s="200"/>
      <c r="S741" s="200"/>
      <c r="T741" s="200"/>
    </row>
    <row r="742" ht="13.5" customHeight="1">
      <c r="A742" s="200"/>
      <c r="B742" s="200"/>
      <c r="C742" s="200"/>
      <c r="D742" s="200"/>
      <c r="E742" s="200"/>
      <c r="F742" s="200"/>
      <c r="G742" s="200"/>
      <c r="H742" s="200"/>
      <c r="I742" s="200"/>
      <c r="J742" s="200"/>
      <c r="K742" s="200"/>
      <c r="L742" s="200"/>
      <c r="M742" s="200"/>
      <c r="N742" s="200"/>
      <c r="O742" s="200"/>
      <c r="P742" s="200"/>
      <c r="Q742" s="200"/>
      <c r="R742" s="200"/>
      <c r="S742" s="200"/>
      <c r="T742" s="200"/>
    </row>
    <row r="743" ht="13.5" customHeight="1">
      <c r="A743" s="200"/>
      <c r="B743" s="200"/>
      <c r="C743" s="200"/>
      <c r="D743" s="200"/>
      <c r="E743" s="200"/>
      <c r="F743" s="200"/>
      <c r="G743" s="200"/>
      <c r="H743" s="200"/>
      <c r="I743" s="200"/>
      <c r="J743" s="200"/>
      <c r="K743" s="200"/>
      <c r="L743" s="200"/>
      <c r="M743" s="200"/>
      <c r="N743" s="200"/>
      <c r="O743" s="200"/>
      <c r="P743" s="200"/>
      <c r="Q743" s="200"/>
      <c r="R743" s="200"/>
      <c r="S743" s="200"/>
      <c r="T743" s="200"/>
    </row>
    <row r="744" ht="13.5" customHeight="1">
      <c r="A744" s="200"/>
      <c r="B744" s="200"/>
      <c r="C744" s="200"/>
      <c r="D744" s="200"/>
      <c r="E744" s="200"/>
      <c r="F744" s="200"/>
      <c r="G744" s="200"/>
      <c r="H744" s="200"/>
      <c r="I744" s="200"/>
      <c r="J744" s="200"/>
      <c r="K744" s="200"/>
      <c r="L744" s="200"/>
      <c r="M744" s="200"/>
      <c r="N744" s="200"/>
      <c r="O744" s="200"/>
      <c r="P744" s="200"/>
      <c r="Q744" s="200"/>
      <c r="R744" s="200"/>
      <c r="S744" s="200"/>
      <c r="T744" s="200"/>
    </row>
    <row r="745" ht="13.5" customHeight="1">
      <c r="A745" s="200"/>
      <c r="B745" s="200"/>
      <c r="C745" s="200"/>
      <c r="D745" s="200"/>
      <c r="E745" s="200"/>
      <c r="F745" s="200"/>
      <c r="G745" s="200"/>
      <c r="H745" s="200"/>
      <c r="I745" s="200"/>
      <c r="J745" s="200"/>
      <c r="K745" s="200"/>
      <c r="L745" s="200"/>
      <c r="M745" s="200"/>
      <c r="N745" s="200"/>
      <c r="O745" s="200"/>
      <c r="P745" s="200"/>
      <c r="Q745" s="200"/>
      <c r="R745" s="200"/>
      <c r="S745" s="200"/>
      <c r="T745" s="200"/>
    </row>
    <row r="746" ht="13.5" customHeight="1">
      <c r="A746" s="200"/>
      <c r="B746" s="200"/>
      <c r="C746" s="200"/>
      <c r="D746" s="200"/>
      <c r="E746" s="200"/>
      <c r="F746" s="200"/>
      <c r="G746" s="200"/>
      <c r="H746" s="200"/>
      <c r="I746" s="200"/>
      <c r="J746" s="200"/>
      <c r="K746" s="200"/>
      <c r="L746" s="200"/>
      <c r="M746" s="200"/>
      <c r="N746" s="200"/>
      <c r="O746" s="200"/>
      <c r="P746" s="200"/>
      <c r="Q746" s="200"/>
      <c r="R746" s="200"/>
      <c r="S746" s="200"/>
      <c r="T746" s="200"/>
    </row>
    <row r="747" ht="13.5" customHeight="1">
      <c r="A747" s="200"/>
      <c r="B747" s="200"/>
      <c r="C747" s="200"/>
      <c r="D747" s="200"/>
      <c r="E747" s="200"/>
      <c r="F747" s="200"/>
      <c r="G747" s="200"/>
      <c r="H747" s="200"/>
      <c r="I747" s="200"/>
      <c r="J747" s="200"/>
      <c r="K747" s="200"/>
      <c r="L747" s="200"/>
      <c r="M747" s="200"/>
      <c r="N747" s="200"/>
      <c r="O747" s="200"/>
      <c r="P747" s="200"/>
      <c r="Q747" s="200"/>
      <c r="R747" s="200"/>
      <c r="S747" s="200"/>
      <c r="T747" s="200"/>
    </row>
    <row r="748" ht="13.5" customHeight="1">
      <c r="A748" s="200"/>
      <c r="B748" s="200"/>
      <c r="C748" s="200"/>
      <c r="D748" s="200"/>
      <c r="E748" s="200"/>
      <c r="F748" s="200"/>
      <c r="G748" s="200"/>
      <c r="H748" s="200"/>
      <c r="I748" s="200"/>
      <c r="J748" s="200"/>
      <c r="K748" s="200"/>
      <c r="L748" s="200"/>
      <c r="M748" s="200"/>
      <c r="N748" s="200"/>
      <c r="O748" s="200"/>
      <c r="P748" s="200"/>
      <c r="Q748" s="200"/>
      <c r="R748" s="200"/>
      <c r="S748" s="200"/>
      <c r="T748" s="200"/>
    </row>
    <row r="749" ht="13.5" customHeight="1">
      <c r="A749" s="200"/>
      <c r="B749" s="200"/>
      <c r="C749" s="200"/>
      <c r="D749" s="200"/>
      <c r="E749" s="200"/>
      <c r="F749" s="200"/>
      <c r="G749" s="200"/>
      <c r="H749" s="200"/>
      <c r="I749" s="200"/>
      <c r="J749" s="200"/>
      <c r="K749" s="200"/>
      <c r="L749" s="200"/>
      <c r="M749" s="200"/>
      <c r="N749" s="200"/>
      <c r="O749" s="200"/>
      <c r="P749" s="200"/>
      <c r="Q749" s="200"/>
      <c r="R749" s="200"/>
      <c r="S749" s="200"/>
      <c r="T749" s="200"/>
    </row>
    <row r="750" ht="13.5" customHeight="1">
      <c r="A750" s="200"/>
      <c r="B750" s="200"/>
      <c r="C750" s="200"/>
      <c r="D750" s="200"/>
      <c r="E750" s="200"/>
      <c r="F750" s="200"/>
      <c r="G750" s="200"/>
      <c r="H750" s="200"/>
      <c r="I750" s="200"/>
      <c r="J750" s="200"/>
      <c r="K750" s="200"/>
      <c r="L750" s="200"/>
      <c r="M750" s="200"/>
      <c r="N750" s="200"/>
      <c r="O750" s="200"/>
      <c r="P750" s="200"/>
      <c r="Q750" s="200"/>
      <c r="R750" s="200"/>
      <c r="S750" s="200"/>
      <c r="T750" s="200"/>
    </row>
    <row r="751" ht="13.5" customHeight="1">
      <c r="A751" s="200"/>
      <c r="B751" s="200"/>
      <c r="C751" s="200"/>
      <c r="D751" s="200"/>
      <c r="E751" s="200"/>
      <c r="F751" s="200"/>
      <c r="G751" s="200"/>
      <c r="H751" s="200"/>
      <c r="I751" s="200"/>
      <c r="J751" s="200"/>
      <c r="K751" s="200"/>
      <c r="L751" s="200"/>
      <c r="M751" s="200"/>
      <c r="N751" s="200"/>
      <c r="O751" s="200"/>
      <c r="P751" s="200"/>
      <c r="Q751" s="200"/>
      <c r="R751" s="200"/>
      <c r="S751" s="200"/>
      <c r="T751" s="200"/>
    </row>
    <row r="752" ht="13.5" customHeight="1">
      <c r="A752" s="200"/>
      <c r="B752" s="200"/>
      <c r="C752" s="200"/>
      <c r="D752" s="200"/>
      <c r="E752" s="200"/>
      <c r="F752" s="200"/>
      <c r="G752" s="200"/>
      <c r="H752" s="200"/>
      <c r="I752" s="200"/>
      <c r="J752" s="200"/>
      <c r="K752" s="200"/>
      <c r="L752" s="200"/>
      <c r="M752" s="200"/>
      <c r="N752" s="200"/>
      <c r="O752" s="200"/>
      <c r="P752" s="200"/>
      <c r="Q752" s="200"/>
      <c r="R752" s="200"/>
      <c r="S752" s="200"/>
      <c r="T752" s="200"/>
    </row>
    <row r="753" ht="13.5" customHeight="1">
      <c r="A753" s="200"/>
      <c r="B753" s="200"/>
      <c r="C753" s="200"/>
      <c r="D753" s="200"/>
      <c r="E753" s="200"/>
      <c r="F753" s="200"/>
      <c r="G753" s="200"/>
      <c r="H753" s="200"/>
      <c r="I753" s="200"/>
      <c r="J753" s="200"/>
      <c r="K753" s="200"/>
      <c r="L753" s="200"/>
      <c r="M753" s="200"/>
      <c r="N753" s="200"/>
      <c r="O753" s="200"/>
      <c r="P753" s="200"/>
      <c r="Q753" s="200"/>
      <c r="R753" s="200"/>
      <c r="S753" s="200"/>
      <c r="T753" s="200"/>
    </row>
    <row r="754" ht="13.5" customHeight="1">
      <c r="A754" s="200"/>
      <c r="B754" s="200"/>
      <c r="C754" s="200"/>
      <c r="D754" s="200"/>
      <c r="E754" s="200"/>
      <c r="F754" s="200"/>
      <c r="G754" s="200"/>
      <c r="H754" s="200"/>
      <c r="I754" s="200"/>
      <c r="J754" s="200"/>
      <c r="K754" s="200"/>
      <c r="L754" s="200"/>
      <c r="M754" s="200"/>
      <c r="N754" s="200"/>
      <c r="O754" s="200"/>
      <c r="P754" s="200"/>
      <c r="Q754" s="200"/>
      <c r="R754" s="200"/>
      <c r="S754" s="200"/>
      <c r="T754" s="200"/>
    </row>
    <row r="755" ht="13.5" customHeight="1">
      <c r="A755" s="200"/>
      <c r="B755" s="200"/>
      <c r="C755" s="200"/>
      <c r="D755" s="200"/>
      <c r="E755" s="200"/>
      <c r="F755" s="200"/>
      <c r="G755" s="200"/>
      <c r="H755" s="200"/>
      <c r="I755" s="200"/>
      <c r="J755" s="200"/>
      <c r="K755" s="200"/>
      <c r="L755" s="200"/>
      <c r="M755" s="200"/>
      <c r="N755" s="200"/>
      <c r="O755" s="200"/>
      <c r="P755" s="200"/>
      <c r="Q755" s="200"/>
      <c r="R755" s="200"/>
      <c r="S755" s="200"/>
      <c r="T755" s="200"/>
    </row>
    <row r="756" ht="13.5" customHeight="1">
      <c r="A756" s="200"/>
      <c r="B756" s="200"/>
      <c r="C756" s="200"/>
      <c r="D756" s="200"/>
      <c r="E756" s="200"/>
      <c r="F756" s="200"/>
      <c r="G756" s="200"/>
      <c r="H756" s="200"/>
      <c r="I756" s="200"/>
      <c r="J756" s="200"/>
      <c r="K756" s="200"/>
      <c r="L756" s="200"/>
      <c r="M756" s="200"/>
      <c r="N756" s="200"/>
      <c r="O756" s="200"/>
      <c r="P756" s="200"/>
      <c r="Q756" s="200"/>
      <c r="R756" s="200"/>
      <c r="S756" s="200"/>
      <c r="T756" s="200"/>
    </row>
    <row r="757" ht="13.5" customHeight="1">
      <c r="A757" s="200"/>
      <c r="B757" s="200"/>
      <c r="C757" s="200"/>
      <c r="D757" s="200"/>
      <c r="E757" s="200"/>
      <c r="F757" s="200"/>
      <c r="G757" s="200"/>
      <c r="H757" s="200"/>
      <c r="I757" s="200"/>
      <c r="J757" s="200"/>
      <c r="K757" s="200"/>
      <c r="L757" s="200"/>
      <c r="M757" s="200"/>
      <c r="N757" s="200"/>
      <c r="O757" s="200"/>
      <c r="P757" s="200"/>
      <c r="Q757" s="200"/>
      <c r="R757" s="200"/>
      <c r="S757" s="200"/>
      <c r="T757" s="200"/>
    </row>
    <row r="758" ht="13.5" customHeight="1">
      <c r="A758" s="200"/>
      <c r="B758" s="200"/>
      <c r="C758" s="200"/>
      <c r="D758" s="200"/>
      <c r="E758" s="200"/>
      <c r="F758" s="200"/>
      <c r="G758" s="200"/>
      <c r="H758" s="200"/>
      <c r="I758" s="200"/>
      <c r="J758" s="200"/>
      <c r="K758" s="200"/>
      <c r="L758" s="200"/>
      <c r="M758" s="200"/>
      <c r="N758" s="200"/>
      <c r="O758" s="200"/>
      <c r="P758" s="200"/>
      <c r="Q758" s="200"/>
      <c r="R758" s="200"/>
      <c r="S758" s="200"/>
      <c r="T758" s="200"/>
    </row>
    <row r="759" ht="13.5" customHeight="1">
      <c r="A759" s="200"/>
      <c r="B759" s="200"/>
      <c r="C759" s="200"/>
      <c r="D759" s="200"/>
      <c r="E759" s="200"/>
      <c r="F759" s="200"/>
      <c r="G759" s="200"/>
      <c r="H759" s="200"/>
      <c r="I759" s="200"/>
      <c r="J759" s="200"/>
      <c r="K759" s="200"/>
      <c r="L759" s="200"/>
      <c r="M759" s="200"/>
      <c r="N759" s="200"/>
      <c r="O759" s="200"/>
      <c r="P759" s="200"/>
      <c r="Q759" s="200"/>
      <c r="R759" s="200"/>
      <c r="S759" s="200"/>
      <c r="T759" s="200"/>
    </row>
    <row r="760" ht="13.5" customHeight="1">
      <c r="A760" s="200"/>
      <c r="B760" s="200"/>
      <c r="C760" s="200"/>
      <c r="D760" s="200"/>
      <c r="E760" s="200"/>
      <c r="F760" s="200"/>
      <c r="G760" s="200"/>
      <c r="H760" s="200"/>
      <c r="I760" s="200"/>
      <c r="J760" s="200"/>
      <c r="K760" s="200"/>
      <c r="L760" s="200"/>
      <c r="M760" s="200"/>
      <c r="N760" s="200"/>
      <c r="O760" s="200"/>
      <c r="P760" s="200"/>
      <c r="Q760" s="200"/>
      <c r="R760" s="200"/>
      <c r="S760" s="200"/>
      <c r="T760" s="200"/>
    </row>
    <row r="761" ht="13.5" customHeight="1">
      <c r="A761" s="200"/>
      <c r="B761" s="200"/>
      <c r="C761" s="200"/>
      <c r="D761" s="200"/>
      <c r="E761" s="200"/>
      <c r="F761" s="200"/>
      <c r="G761" s="200"/>
      <c r="H761" s="200"/>
      <c r="I761" s="200"/>
      <c r="J761" s="200"/>
      <c r="K761" s="200"/>
      <c r="L761" s="200"/>
      <c r="M761" s="200"/>
      <c r="N761" s="200"/>
      <c r="O761" s="200"/>
      <c r="P761" s="200"/>
      <c r="Q761" s="200"/>
      <c r="R761" s="200"/>
      <c r="S761" s="200"/>
      <c r="T761" s="200"/>
    </row>
    <row r="762" ht="13.5" customHeight="1">
      <c r="A762" s="200"/>
      <c r="B762" s="200"/>
      <c r="C762" s="200"/>
      <c r="D762" s="200"/>
      <c r="E762" s="200"/>
      <c r="F762" s="200"/>
      <c r="G762" s="200"/>
      <c r="H762" s="200"/>
      <c r="I762" s="200"/>
      <c r="J762" s="200"/>
      <c r="K762" s="200"/>
      <c r="L762" s="200"/>
      <c r="M762" s="200"/>
      <c r="N762" s="200"/>
      <c r="O762" s="200"/>
      <c r="P762" s="200"/>
      <c r="Q762" s="200"/>
      <c r="R762" s="200"/>
      <c r="S762" s="200"/>
      <c r="T762" s="200"/>
    </row>
    <row r="763" ht="13.5" customHeight="1">
      <c r="A763" s="200"/>
      <c r="B763" s="200"/>
      <c r="C763" s="200"/>
      <c r="D763" s="200"/>
      <c r="E763" s="200"/>
      <c r="F763" s="200"/>
      <c r="G763" s="200"/>
      <c r="H763" s="200"/>
      <c r="I763" s="200"/>
      <c r="J763" s="200"/>
      <c r="K763" s="200"/>
      <c r="L763" s="200"/>
      <c r="M763" s="200"/>
      <c r="N763" s="200"/>
      <c r="O763" s="200"/>
      <c r="P763" s="200"/>
      <c r="Q763" s="200"/>
      <c r="R763" s="200"/>
      <c r="S763" s="200"/>
      <c r="T763" s="200"/>
    </row>
    <row r="764" ht="13.5" customHeight="1">
      <c r="A764" s="200"/>
      <c r="B764" s="200"/>
      <c r="C764" s="200"/>
      <c r="D764" s="200"/>
      <c r="E764" s="200"/>
      <c r="F764" s="200"/>
      <c r="G764" s="200"/>
      <c r="H764" s="200"/>
      <c r="I764" s="200"/>
      <c r="J764" s="200"/>
      <c r="K764" s="200"/>
      <c r="L764" s="200"/>
      <c r="M764" s="200"/>
      <c r="N764" s="200"/>
      <c r="O764" s="200"/>
      <c r="P764" s="200"/>
      <c r="Q764" s="200"/>
      <c r="R764" s="200"/>
      <c r="S764" s="200"/>
      <c r="T764" s="200"/>
    </row>
    <row r="765" ht="13.5" customHeight="1">
      <c r="A765" s="200"/>
      <c r="B765" s="200"/>
      <c r="C765" s="200"/>
      <c r="D765" s="200"/>
      <c r="E765" s="200"/>
      <c r="F765" s="200"/>
      <c r="G765" s="200"/>
      <c r="H765" s="200"/>
      <c r="I765" s="200"/>
      <c r="J765" s="200"/>
      <c r="K765" s="200"/>
      <c r="L765" s="200"/>
      <c r="M765" s="200"/>
      <c r="N765" s="200"/>
      <c r="O765" s="200"/>
      <c r="P765" s="200"/>
      <c r="Q765" s="200"/>
      <c r="R765" s="200"/>
      <c r="S765" s="200"/>
      <c r="T765" s="200"/>
    </row>
    <row r="766" ht="13.5" customHeight="1">
      <c r="A766" s="200"/>
      <c r="B766" s="200"/>
      <c r="C766" s="200"/>
      <c r="D766" s="200"/>
      <c r="E766" s="200"/>
      <c r="F766" s="200"/>
      <c r="G766" s="200"/>
      <c r="H766" s="200"/>
      <c r="I766" s="200"/>
      <c r="J766" s="200"/>
      <c r="K766" s="200"/>
      <c r="L766" s="200"/>
      <c r="M766" s="200"/>
      <c r="N766" s="200"/>
      <c r="O766" s="200"/>
      <c r="P766" s="200"/>
      <c r="Q766" s="200"/>
      <c r="R766" s="200"/>
      <c r="S766" s="200"/>
      <c r="T766" s="200"/>
    </row>
    <row r="767" ht="13.5" customHeight="1">
      <c r="A767" s="200"/>
      <c r="B767" s="200"/>
      <c r="C767" s="200"/>
      <c r="D767" s="200"/>
      <c r="E767" s="200"/>
      <c r="F767" s="200"/>
      <c r="G767" s="200"/>
      <c r="H767" s="200"/>
      <c r="I767" s="200"/>
      <c r="J767" s="200"/>
      <c r="K767" s="200"/>
      <c r="L767" s="200"/>
      <c r="M767" s="200"/>
      <c r="N767" s="200"/>
      <c r="O767" s="200"/>
      <c r="P767" s="200"/>
      <c r="Q767" s="200"/>
      <c r="R767" s="200"/>
      <c r="S767" s="200"/>
      <c r="T767" s="200"/>
    </row>
    <row r="768" ht="13.5" customHeight="1">
      <c r="A768" s="200"/>
      <c r="B768" s="200"/>
      <c r="C768" s="200"/>
      <c r="D768" s="200"/>
      <c r="E768" s="200"/>
      <c r="F768" s="200"/>
      <c r="G768" s="200"/>
      <c r="H768" s="200"/>
      <c r="I768" s="200"/>
      <c r="J768" s="200"/>
      <c r="K768" s="200"/>
      <c r="L768" s="200"/>
      <c r="M768" s="200"/>
      <c r="N768" s="200"/>
      <c r="O768" s="200"/>
      <c r="P768" s="200"/>
      <c r="Q768" s="200"/>
      <c r="R768" s="200"/>
      <c r="S768" s="200"/>
      <c r="T768" s="200"/>
    </row>
    <row r="769" ht="13.5" customHeight="1">
      <c r="A769" s="200"/>
      <c r="B769" s="200"/>
      <c r="C769" s="200"/>
      <c r="D769" s="200"/>
      <c r="E769" s="200"/>
      <c r="F769" s="200"/>
      <c r="G769" s="200"/>
      <c r="H769" s="200"/>
      <c r="I769" s="200"/>
      <c r="J769" s="200"/>
      <c r="K769" s="200"/>
      <c r="L769" s="200"/>
      <c r="M769" s="200"/>
      <c r="N769" s="200"/>
      <c r="O769" s="200"/>
      <c r="P769" s="200"/>
      <c r="Q769" s="200"/>
      <c r="R769" s="200"/>
      <c r="S769" s="200"/>
      <c r="T769" s="200"/>
    </row>
    <row r="770" ht="13.5" customHeight="1">
      <c r="A770" s="200"/>
      <c r="B770" s="200"/>
      <c r="C770" s="200"/>
      <c r="D770" s="200"/>
      <c r="E770" s="200"/>
      <c r="F770" s="200"/>
      <c r="G770" s="200"/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0"/>
      <c r="S770" s="200"/>
      <c r="T770" s="200"/>
    </row>
    <row r="771" ht="13.5" customHeight="1">
      <c r="A771" s="200"/>
      <c r="B771" s="200"/>
      <c r="C771" s="200"/>
      <c r="D771" s="200"/>
      <c r="E771" s="200"/>
      <c r="F771" s="200"/>
      <c r="G771" s="200"/>
      <c r="H771" s="200"/>
      <c r="I771" s="200"/>
      <c r="J771" s="200"/>
      <c r="K771" s="200"/>
      <c r="L771" s="200"/>
      <c r="M771" s="200"/>
      <c r="N771" s="200"/>
      <c r="O771" s="200"/>
      <c r="P771" s="200"/>
      <c r="Q771" s="200"/>
      <c r="R771" s="200"/>
      <c r="S771" s="200"/>
      <c r="T771" s="200"/>
    </row>
    <row r="772" ht="13.5" customHeight="1">
      <c r="A772" s="200"/>
      <c r="B772" s="200"/>
      <c r="C772" s="200"/>
      <c r="D772" s="200"/>
      <c r="E772" s="200"/>
      <c r="F772" s="200"/>
      <c r="G772" s="200"/>
      <c r="H772" s="200"/>
      <c r="I772" s="200"/>
      <c r="J772" s="200"/>
      <c r="K772" s="200"/>
      <c r="L772" s="200"/>
      <c r="M772" s="200"/>
      <c r="N772" s="200"/>
      <c r="O772" s="200"/>
      <c r="P772" s="200"/>
      <c r="Q772" s="200"/>
      <c r="R772" s="200"/>
      <c r="S772" s="200"/>
      <c r="T772" s="200"/>
    </row>
    <row r="773" ht="13.5" customHeight="1">
      <c r="A773" s="200"/>
      <c r="B773" s="200"/>
      <c r="C773" s="200"/>
      <c r="D773" s="200"/>
      <c r="E773" s="200"/>
      <c r="F773" s="200"/>
      <c r="G773" s="200"/>
      <c r="H773" s="200"/>
      <c r="I773" s="200"/>
      <c r="J773" s="200"/>
      <c r="K773" s="200"/>
      <c r="L773" s="200"/>
      <c r="M773" s="200"/>
      <c r="N773" s="200"/>
      <c r="O773" s="200"/>
      <c r="P773" s="200"/>
      <c r="Q773" s="200"/>
      <c r="R773" s="200"/>
      <c r="S773" s="200"/>
      <c r="T773" s="200"/>
    </row>
    <row r="774" ht="13.5" customHeight="1">
      <c r="A774" s="200"/>
      <c r="B774" s="200"/>
      <c r="C774" s="200"/>
      <c r="D774" s="200"/>
      <c r="E774" s="200"/>
      <c r="F774" s="200"/>
      <c r="G774" s="200"/>
      <c r="H774" s="200"/>
      <c r="I774" s="200"/>
      <c r="J774" s="200"/>
      <c r="K774" s="200"/>
      <c r="L774" s="200"/>
      <c r="M774" s="200"/>
      <c r="N774" s="200"/>
      <c r="O774" s="200"/>
      <c r="P774" s="200"/>
      <c r="Q774" s="200"/>
      <c r="R774" s="200"/>
      <c r="S774" s="200"/>
      <c r="T774" s="200"/>
    </row>
    <row r="775" ht="13.5" customHeight="1">
      <c r="A775" s="200"/>
      <c r="B775" s="200"/>
      <c r="C775" s="200"/>
      <c r="D775" s="200"/>
      <c r="E775" s="200"/>
      <c r="F775" s="200"/>
      <c r="G775" s="200"/>
      <c r="H775" s="200"/>
      <c r="I775" s="200"/>
      <c r="J775" s="200"/>
      <c r="K775" s="200"/>
      <c r="L775" s="200"/>
      <c r="M775" s="200"/>
      <c r="N775" s="200"/>
      <c r="O775" s="200"/>
      <c r="P775" s="200"/>
      <c r="Q775" s="200"/>
      <c r="R775" s="200"/>
      <c r="S775" s="200"/>
      <c r="T775" s="200"/>
    </row>
    <row r="776" ht="13.5" customHeight="1">
      <c r="A776" s="200"/>
      <c r="B776" s="200"/>
      <c r="C776" s="200"/>
      <c r="D776" s="200"/>
      <c r="E776" s="200"/>
      <c r="F776" s="200"/>
      <c r="G776" s="200"/>
      <c r="H776" s="200"/>
      <c r="I776" s="200"/>
      <c r="J776" s="200"/>
      <c r="K776" s="200"/>
      <c r="L776" s="200"/>
      <c r="M776" s="200"/>
      <c r="N776" s="200"/>
      <c r="O776" s="200"/>
      <c r="P776" s="200"/>
      <c r="Q776" s="200"/>
      <c r="R776" s="200"/>
      <c r="S776" s="200"/>
      <c r="T776" s="200"/>
    </row>
    <row r="777" ht="13.5" customHeight="1">
      <c r="A777" s="200"/>
      <c r="B777" s="200"/>
      <c r="C777" s="200"/>
      <c r="D777" s="200"/>
      <c r="E777" s="200"/>
      <c r="F777" s="200"/>
      <c r="G777" s="200"/>
      <c r="H777" s="200"/>
      <c r="I777" s="200"/>
      <c r="J777" s="200"/>
      <c r="K777" s="200"/>
      <c r="L777" s="200"/>
      <c r="M777" s="200"/>
      <c r="N777" s="200"/>
      <c r="O777" s="200"/>
      <c r="P777" s="200"/>
      <c r="Q777" s="200"/>
      <c r="R777" s="200"/>
      <c r="S777" s="200"/>
      <c r="T777" s="200"/>
    </row>
    <row r="778" ht="13.5" customHeight="1">
      <c r="A778" s="200"/>
      <c r="B778" s="200"/>
      <c r="C778" s="200"/>
      <c r="D778" s="200"/>
      <c r="E778" s="200"/>
      <c r="F778" s="200"/>
      <c r="G778" s="200"/>
      <c r="H778" s="200"/>
      <c r="I778" s="200"/>
      <c r="J778" s="200"/>
      <c r="K778" s="200"/>
      <c r="L778" s="200"/>
      <c r="M778" s="200"/>
      <c r="N778" s="200"/>
      <c r="O778" s="200"/>
      <c r="P778" s="200"/>
      <c r="Q778" s="200"/>
      <c r="R778" s="200"/>
      <c r="S778" s="200"/>
      <c r="T778" s="200"/>
    </row>
    <row r="779" ht="13.5" customHeight="1">
      <c r="A779" s="200"/>
      <c r="B779" s="200"/>
      <c r="C779" s="200"/>
      <c r="D779" s="200"/>
      <c r="E779" s="200"/>
      <c r="F779" s="200"/>
      <c r="G779" s="200"/>
      <c r="H779" s="200"/>
      <c r="I779" s="200"/>
      <c r="J779" s="200"/>
      <c r="K779" s="200"/>
      <c r="L779" s="200"/>
      <c r="M779" s="200"/>
      <c r="N779" s="200"/>
      <c r="O779" s="200"/>
      <c r="P779" s="200"/>
      <c r="Q779" s="200"/>
      <c r="R779" s="200"/>
      <c r="S779" s="200"/>
      <c r="T779" s="200"/>
    </row>
    <row r="780" ht="13.5" customHeight="1">
      <c r="A780" s="200"/>
      <c r="B780" s="200"/>
      <c r="C780" s="200"/>
      <c r="D780" s="200"/>
      <c r="E780" s="200"/>
      <c r="F780" s="200"/>
      <c r="G780" s="200"/>
      <c r="H780" s="200"/>
      <c r="I780" s="200"/>
      <c r="J780" s="200"/>
      <c r="K780" s="200"/>
      <c r="L780" s="200"/>
      <c r="M780" s="200"/>
      <c r="N780" s="200"/>
      <c r="O780" s="200"/>
      <c r="P780" s="200"/>
      <c r="Q780" s="200"/>
      <c r="R780" s="200"/>
      <c r="S780" s="200"/>
      <c r="T780" s="200"/>
    </row>
    <row r="781" ht="13.5" customHeight="1">
      <c r="A781" s="200"/>
      <c r="B781" s="200"/>
      <c r="C781" s="200"/>
      <c r="D781" s="200"/>
      <c r="E781" s="200"/>
      <c r="F781" s="200"/>
      <c r="G781" s="200"/>
      <c r="H781" s="200"/>
      <c r="I781" s="200"/>
      <c r="J781" s="200"/>
      <c r="K781" s="200"/>
      <c r="L781" s="200"/>
      <c r="M781" s="200"/>
      <c r="N781" s="200"/>
      <c r="O781" s="200"/>
      <c r="P781" s="200"/>
      <c r="Q781" s="200"/>
      <c r="R781" s="200"/>
      <c r="S781" s="200"/>
      <c r="T781" s="200"/>
    </row>
    <row r="782" ht="13.5" customHeight="1">
      <c r="A782" s="200"/>
      <c r="B782" s="200"/>
      <c r="C782" s="200"/>
      <c r="D782" s="200"/>
      <c r="E782" s="200"/>
      <c r="F782" s="200"/>
      <c r="G782" s="200"/>
      <c r="H782" s="200"/>
      <c r="I782" s="200"/>
      <c r="J782" s="200"/>
      <c r="K782" s="200"/>
      <c r="L782" s="200"/>
      <c r="M782" s="200"/>
      <c r="N782" s="200"/>
      <c r="O782" s="200"/>
      <c r="P782" s="200"/>
      <c r="Q782" s="200"/>
      <c r="R782" s="200"/>
      <c r="S782" s="200"/>
      <c r="T782" s="200"/>
    </row>
    <row r="783" ht="13.5" customHeight="1">
      <c r="A783" s="200"/>
      <c r="B783" s="200"/>
      <c r="C783" s="200"/>
      <c r="D783" s="200"/>
      <c r="E783" s="200"/>
      <c r="F783" s="200"/>
      <c r="G783" s="200"/>
      <c r="H783" s="200"/>
      <c r="I783" s="200"/>
      <c r="J783" s="200"/>
      <c r="K783" s="200"/>
      <c r="L783" s="200"/>
      <c r="M783" s="200"/>
      <c r="N783" s="200"/>
      <c r="O783" s="200"/>
      <c r="P783" s="200"/>
      <c r="Q783" s="200"/>
      <c r="R783" s="200"/>
      <c r="S783" s="200"/>
      <c r="T783" s="200"/>
    </row>
    <row r="784" ht="13.5" customHeight="1">
      <c r="A784" s="200"/>
      <c r="B784" s="200"/>
      <c r="C784" s="200"/>
      <c r="D784" s="200"/>
      <c r="E784" s="200"/>
      <c r="F784" s="200"/>
      <c r="G784" s="200"/>
      <c r="H784" s="200"/>
      <c r="I784" s="200"/>
      <c r="J784" s="200"/>
      <c r="K784" s="200"/>
      <c r="L784" s="200"/>
      <c r="M784" s="200"/>
      <c r="N784" s="200"/>
      <c r="O784" s="200"/>
      <c r="P784" s="200"/>
      <c r="Q784" s="200"/>
      <c r="R784" s="200"/>
      <c r="S784" s="200"/>
      <c r="T784" s="200"/>
    </row>
    <row r="785" ht="13.5" customHeight="1">
      <c r="A785" s="200"/>
      <c r="B785" s="200"/>
      <c r="C785" s="200"/>
      <c r="D785" s="200"/>
      <c r="E785" s="200"/>
      <c r="F785" s="200"/>
      <c r="G785" s="200"/>
      <c r="H785" s="200"/>
      <c r="I785" s="200"/>
      <c r="J785" s="200"/>
      <c r="K785" s="200"/>
      <c r="L785" s="200"/>
      <c r="M785" s="200"/>
      <c r="N785" s="200"/>
      <c r="O785" s="200"/>
      <c r="P785" s="200"/>
      <c r="Q785" s="200"/>
      <c r="R785" s="200"/>
      <c r="S785" s="200"/>
      <c r="T785" s="200"/>
    </row>
    <row r="786" ht="13.5" customHeight="1">
      <c r="A786" s="200"/>
      <c r="B786" s="200"/>
      <c r="C786" s="200"/>
      <c r="D786" s="200"/>
      <c r="E786" s="200"/>
      <c r="F786" s="200"/>
      <c r="G786" s="200"/>
      <c r="H786" s="200"/>
      <c r="I786" s="200"/>
      <c r="J786" s="200"/>
      <c r="K786" s="200"/>
      <c r="L786" s="200"/>
      <c r="M786" s="200"/>
      <c r="N786" s="200"/>
      <c r="O786" s="200"/>
      <c r="P786" s="200"/>
      <c r="Q786" s="200"/>
      <c r="R786" s="200"/>
      <c r="S786" s="200"/>
      <c r="T786" s="200"/>
    </row>
    <row r="787" ht="13.5" customHeight="1">
      <c r="A787" s="200"/>
      <c r="B787" s="200"/>
      <c r="C787" s="200"/>
      <c r="D787" s="200"/>
      <c r="E787" s="200"/>
      <c r="F787" s="200"/>
      <c r="G787" s="200"/>
      <c r="H787" s="200"/>
      <c r="I787" s="200"/>
      <c r="J787" s="200"/>
      <c r="K787" s="200"/>
      <c r="L787" s="200"/>
      <c r="M787" s="200"/>
      <c r="N787" s="200"/>
      <c r="O787" s="200"/>
      <c r="P787" s="200"/>
      <c r="Q787" s="200"/>
      <c r="R787" s="200"/>
      <c r="S787" s="200"/>
      <c r="T787" s="200"/>
    </row>
    <row r="788" ht="13.5" customHeight="1">
      <c r="A788" s="200"/>
      <c r="B788" s="200"/>
      <c r="C788" s="200"/>
      <c r="D788" s="200"/>
      <c r="E788" s="200"/>
      <c r="F788" s="200"/>
      <c r="G788" s="200"/>
      <c r="H788" s="200"/>
      <c r="I788" s="200"/>
      <c r="J788" s="200"/>
      <c r="K788" s="200"/>
      <c r="L788" s="200"/>
      <c r="M788" s="200"/>
      <c r="N788" s="200"/>
      <c r="O788" s="200"/>
      <c r="P788" s="200"/>
      <c r="Q788" s="200"/>
      <c r="R788" s="200"/>
      <c r="S788" s="200"/>
      <c r="T788" s="200"/>
    </row>
    <row r="789" ht="13.5" customHeight="1">
      <c r="A789" s="200"/>
      <c r="B789" s="200"/>
      <c r="C789" s="200"/>
      <c r="D789" s="200"/>
      <c r="E789" s="200"/>
      <c r="F789" s="200"/>
      <c r="G789" s="200"/>
      <c r="H789" s="200"/>
      <c r="I789" s="200"/>
      <c r="J789" s="200"/>
      <c r="K789" s="200"/>
      <c r="L789" s="200"/>
      <c r="M789" s="200"/>
      <c r="N789" s="200"/>
      <c r="O789" s="200"/>
      <c r="P789" s="200"/>
      <c r="Q789" s="200"/>
      <c r="R789" s="200"/>
      <c r="S789" s="200"/>
      <c r="T789" s="200"/>
    </row>
    <row r="790" ht="13.5" customHeight="1">
      <c r="A790" s="200"/>
      <c r="B790" s="200"/>
      <c r="C790" s="200"/>
      <c r="D790" s="200"/>
      <c r="E790" s="200"/>
      <c r="F790" s="200"/>
      <c r="G790" s="200"/>
      <c r="H790" s="200"/>
      <c r="I790" s="200"/>
      <c r="J790" s="200"/>
      <c r="K790" s="200"/>
      <c r="L790" s="200"/>
      <c r="M790" s="200"/>
      <c r="N790" s="200"/>
      <c r="O790" s="200"/>
      <c r="P790" s="200"/>
      <c r="Q790" s="200"/>
      <c r="R790" s="200"/>
      <c r="S790" s="200"/>
      <c r="T790" s="200"/>
    </row>
    <row r="791" ht="13.5" customHeight="1">
      <c r="A791" s="200"/>
      <c r="B791" s="200"/>
      <c r="C791" s="200"/>
      <c r="D791" s="200"/>
      <c r="E791" s="200"/>
      <c r="F791" s="200"/>
      <c r="G791" s="200"/>
      <c r="H791" s="200"/>
      <c r="I791" s="200"/>
      <c r="J791" s="200"/>
      <c r="K791" s="200"/>
      <c r="L791" s="200"/>
      <c r="M791" s="200"/>
      <c r="N791" s="200"/>
      <c r="O791" s="200"/>
      <c r="P791" s="200"/>
      <c r="Q791" s="200"/>
      <c r="R791" s="200"/>
      <c r="S791" s="200"/>
      <c r="T791" s="200"/>
    </row>
    <row r="792" ht="13.5" customHeight="1">
      <c r="A792" s="200"/>
      <c r="B792" s="200"/>
      <c r="C792" s="200"/>
      <c r="D792" s="200"/>
      <c r="E792" s="200"/>
      <c r="F792" s="200"/>
      <c r="G792" s="200"/>
      <c r="H792" s="200"/>
      <c r="I792" s="200"/>
      <c r="J792" s="200"/>
      <c r="K792" s="200"/>
      <c r="L792" s="200"/>
      <c r="M792" s="200"/>
      <c r="N792" s="200"/>
      <c r="O792" s="200"/>
      <c r="P792" s="200"/>
      <c r="Q792" s="200"/>
      <c r="R792" s="200"/>
      <c r="S792" s="200"/>
      <c r="T792" s="200"/>
    </row>
    <row r="793" ht="13.5" customHeight="1">
      <c r="A793" s="200"/>
      <c r="B793" s="200"/>
      <c r="C793" s="200"/>
      <c r="D793" s="200"/>
      <c r="E793" s="200"/>
      <c r="F793" s="200"/>
      <c r="G793" s="200"/>
      <c r="H793" s="200"/>
      <c r="I793" s="200"/>
      <c r="J793" s="200"/>
      <c r="K793" s="200"/>
      <c r="L793" s="200"/>
      <c r="M793" s="200"/>
      <c r="N793" s="200"/>
      <c r="O793" s="200"/>
      <c r="P793" s="200"/>
      <c r="Q793" s="200"/>
      <c r="R793" s="200"/>
      <c r="S793" s="200"/>
      <c r="T793" s="200"/>
    </row>
    <row r="794" ht="13.5" customHeight="1">
      <c r="A794" s="200"/>
      <c r="B794" s="200"/>
      <c r="C794" s="200"/>
      <c r="D794" s="200"/>
      <c r="E794" s="200"/>
      <c r="F794" s="200"/>
      <c r="G794" s="200"/>
      <c r="H794" s="200"/>
      <c r="I794" s="200"/>
      <c r="J794" s="200"/>
      <c r="K794" s="200"/>
      <c r="L794" s="200"/>
      <c r="M794" s="200"/>
      <c r="N794" s="200"/>
      <c r="O794" s="200"/>
      <c r="P794" s="200"/>
      <c r="Q794" s="200"/>
      <c r="R794" s="200"/>
      <c r="S794" s="200"/>
      <c r="T794" s="200"/>
    </row>
    <row r="795" ht="13.5" customHeight="1">
      <c r="A795" s="200"/>
      <c r="B795" s="200"/>
      <c r="C795" s="200"/>
      <c r="D795" s="200"/>
      <c r="E795" s="200"/>
      <c r="F795" s="200"/>
      <c r="G795" s="200"/>
      <c r="H795" s="200"/>
      <c r="I795" s="200"/>
      <c r="J795" s="200"/>
      <c r="K795" s="200"/>
      <c r="L795" s="200"/>
      <c r="M795" s="200"/>
      <c r="N795" s="200"/>
      <c r="O795" s="200"/>
      <c r="P795" s="200"/>
      <c r="Q795" s="200"/>
      <c r="R795" s="200"/>
      <c r="S795" s="200"/>
      <c r="T795" s="200"/>
    </row>
    <row r="796" ht="13.5" customHeight="1">
      <c r="A796" s="200"/>
      <c r="B796" s="200"/>
      <c r="C796" s="200"/>
      <c r="D796" s="200"/>
      <c r="E796" s="200"/>
      <c r="F796" s="200"/>
      <c r="G796" s="200"/>
      <c r="H796" s="200"/>
      <c r="I796" s="200"/>
      <c r="J796" s="200"/>
      <c r="K796" s="200"/>
      <c r="L796" s="200"/>
      <c r="M796" s="200"/>
      <c r="N796" s="200"/>
      <c r="O796" s="200"/>
      <c r="P796" s="200"/>
      <c r="Q796" s="200"/>
      <c r="R796" s="200"/>
      <c r="S796" s="200"/>
      <c r="T796" s="200"/>
    </row>
    <row r="797" ht="13.5" customHeight="1">
      <c r="A797" s="200"/>
      <c r="B797" s="200"/>
      <c r="C797" s="200"/>
      <c r="D797" s="200"/>
      <c r="E797" s="200"/>
      <c r="F797" s="200"/>
      <c r="G797" s="200"/>
      <c r="H797" s="200"/>
      <c r="I797" s="200"/>
      <c r="J797" s="200"/>
      <c r="K797" s="200"/>
      <c r="L797" s="200"/>
      <c r="M797" s="200"/>
      <c r="N797" s="200"/>
      <c r="O797" s="200"/>
      <c r="P797" s="200"/>
      <c r="Q797" s="200"/>
      <c r="R797" s="200"/>
      <c r="S797" s="200"/>
      <c r="T797" s="200"/>
    </row>
    <row r="798" ht="13.5" customHeight="1">
      <c r="A798" s="200"/>
      <c r="B798" s="200"/>
      <c r="C798" s="200"/>
      <c r="D798" s="200"/>
      <c r="E798" s="200"/>
      <c r="F798" s="200"/>
      <c r="G798" s="200"/>
      <c r="H798" s="200"/>
      <c r="I798" s="200"/>
      <c r="J798" s="200"/>
      <c r="K798" s="200"/>
      <c r="L798" s="200"/>
      <c r="M798" s="200"/>
      <c r="N798" s="200"/>
      <c r="O798" s="200"/>
      <c r="P798" s="200"/>
      <c r="Q798" s="200"/>
      <c r="R798" s="200"/>
      <c r="S798" s="200"/>
      <c r="T798" s="200"/>
    </row>
    <row r="799" ht="13.5" customHeight="1">
      <c r="A799" s="200"/>
      <c r="B799" s="200"/>
      <c r="C799" s="200"/>
      <c r="D799" s="200"/>
      <c r="E799" s="200"/>
      <c r="F799" s="200"/>
      <c r="G799" s="200"/>
      <c r="H799" s="200"/>
      <c r="I799" s="200"/>
      <c r="J799" s="200"/>
      <c r="K799" s="200"/>
      <c r="L799" s="200"/>
      <c r="M799" s="200"/>
      <c r="N799" s="200"/>
      <c r="O799" s="200"/>
      <c r="P799" s="200"/>
      <c r="Q799" s="200"/>
      <c r="R799" s="200"/>
      <c r="S799" s="200"/>
      <c r="T799" s="200"/>
    </row>
    <row r="800" ht="13.5" customHeight="1">
      <c r="A800" s="200"/>
      <c r="B800" s="200"/>
      <c r="C800" s="200"/>
      <c r="D800" s="200"/>
      <c r="E800" s="200"/>
      <c r="F800" s="200"/>
      <c r="G800" s="200"/>
      <c r="H800" s="200"/>
      <c r="I800" s="200"/>
      <c r="J800" s="200"/>
      <c r="K800" s="200"/>
      <c r="L800" s="200"/>
      <c r="M800" s="200"/>
      <c r="N800" s="200"/>
      <c r="O800" s="200"/>
      <c r="P800" s="200"/>
      <c r="Q800" s="200"/>
      <c r="R800" s="200"/>
      <c r="S800" s="200"/>
      <c r="T800" s="200"/>
    </row>
    <row r="801" ht="13.5" customHeight="1">
      <c r="A801" s="200"/>
      <c r="B801" s="200"/>
      <c r="C801" s="200"/>
      <c r="D801" s="200"/>
      <c r="E801" s="200"/>
      <c r="F801" s="200"/>
      <c r="G801" s="200"/>
      <c r="H801" s="200"/>
      <c r="I801" s="200"/>
      <c r="J801" s="200"/>
      <c r="K801" s="200"/>
      <c r="L801" s="200"/>
      <c r="M801" s="200"/>
      <c r="N801" s="200"/>
      <c r="O801" s="200"/>
      <c r="P801" s="200"/>
      <c r="Q801" s="200"/>
      <c r="R801" s="200"/>
      <c r="S801" s="200"/>
      <c r="T801" s="200"/>
    </row>
    <row r="802" ht="13.5" customHeight="1">
      <c r="A802" s="200"/>
      <c r="B802" s="200"/>
      <c r="C802" s="200"/>
      <c r="D802" s="200"/>
      <c r="E802" s="200"/>
      <c r="F802" s="200"/>
      <c r="G802" s="200"/>
      <c r="H802" s="200"/>
      <c r="I802" s="200"/>
      <c r="J802" s="200"/>
      <c r="K802" s="200"/>
      <c r="L802" s="200"/>
      <c r="M802" s="200"/>
      <c r="N802" s="200"/>
      <c r="O802" s="200"/>
      <c r="P802" s="200"/>
      <c r="Q802" s="200"/>
      <c r="R802" s="200"/>
      <c r="S802" s="200"/>
      <c r="T802" s="200"/>
    </row>
    <row r="803" ht="13.5" customHeight="1">
      <c r="A803" s="200"/>
      <c r="B803" s="200"/>
      <c r="C803" s="200"/>
      <c r="D803" s="200"/>
      <c r="E803" s="200"/>
      <c r="F803" s="200"/>
      <c r="G803" s="200"/>
      <c r="H803" s="200"/>
      <c r="I803" s="200"/>
      <c r="J803" s="200"/>
      <c r="K803" s="200"/>
      <c r="L803" s="200"/>
      <c r="M803" s="200"/>
      <c r="N803" s="200"/>
      <c r="O803" s="200"/>
      <c r="P803" s="200"/>
      <c r="Q803" s="200"/>
      <c r="R803" s="200"/>
      <c r="S803" s="200"/>
      <c r="T803" s="200"/>
    </row>
    <row r="804" ht="13.5" customHeight="1">
      <c r="A804" s="200"/>
      <c r="B804" s="200"/>
      <c r="C804" s="200"/>
      <c r="D804" s="200"/>
      <c r="E804" s="200"/>
      <c r="F804" s="200"/>
      <c r="G804" s="200"/>
      <c r="H804" s="200"/>
      <c r="I804" s="200"/>
      <c r="J804" s="200"/>
      <c r="K804" s="200"/>
      <c r="L804" s="200"/>
      <c r="M804" s="200"/>
      <c r="N804" s="200"/>
      <c r="O804" s="200"/>
      <c r="P804" s="200"/>
      <c r="Q804" s="200"/>
      <c r="R804" s="200"/>
      <c r="S804" s="200"/>
      <c r="T804" s="200"/>
    </row>
    <row r="805" ht="13.5" customHeight="1">
      <c r="A805" s="200"/>
      <c r="B805" s="200"/>
      <c r="C805" s="200"/>
      <c r="D805" s="200"/>
      <c r="E805" s="200"/>
      <c r="F805" s="200"/>
      <c r="G805" s="200"/>
      <c r="H805" s="200"/>
      <c r="I805" s="200"/>
      <c r="J805" s="200"/>
      <c r="K805" s="200"/>
      <c r="L805" s="200"/>
      <c r="M805" s="200"/>
      <c r="N805" s="200"/>
      <c r="O805" s="200"/>
      <c r="P805" s="200"/>
      <c r="Q805" s="200"/>
      <c r="R805" s="200"/>
      <c r="S805" s="200"/>
      <c r="T805" s="200"/>
    </row>
    <row r="806" ht="13.5" customHeight="1">
      <c r="A806" s="200"/>
      <c r="B806" s="200"/>
      <c r="C806" s="200"/>
      <c r="D806" s="200"/>
      <c r="E806" s="200"/>
      <c r="F806" s="200"/>
      <c r="G806" s="200"/>
      <c r="H806" s="200"/>
      <c r="I806" s="200"/>
      <c r="J806" s="200"/>
      <c r="K806" s="200"/>
      <c r="L806" s="200"/>
      <c r="M806" s="200"/>
      <c r="N806" s="200"/>
      <c r="O806" s="200"/>
      <c r="P806" s="200"/>
      <c r="Q806" s="200"/>
      <c r="R806" s="200"/>
      <c r="S806" s="200"/>
      <c r="T806" s="200"/>
    </row>
    <row r="807" ht="13.5" customHeight="1">
      <c r="A807" s="200"/>
      <c r="B807" s="200"/>
      <c r="C807" s="200"/>
      <c r="D807" s="200"/>
      <c r="E807" s="200"/>
      <c r="F807" s="200"/>
      <c r="G807" s="200"/>
      <c r="H807" s="200"/>
      <c r="I807" s="200"/>
      <c r="J807" s="200"/>
      <c r="K807" s="200"/>
      <c r="L807" s="200"/>
      <c r="M807" s="200"/>
      <c r="N807" s="200"/>
      <c r="O807" s="200"/>
      <c r="P807" s="200"/>
      <c r="Q807" s="200"/>
      <c r="R807" s="200"/>
      <c r="S807" s="200"/>
      <c r="T807" s="200"/>
    </row>
    <row r="808" ht="13.5" customHeight="1">
      <c r="A808" s="200"/>
      <c r="B808" s="200"/>
      <c r="C808" s="200"/>
      <c r="D808" s="200"/>
      <c r="E808" s="200"/>
      <c r="F808" s="200"/>
      <c r="G808" s="200"/>
      <c r="H808" s="200"/>
      <c r="I808" s="200"/>
      <c r="J808" s="200"/>
      <c r="K808" s="200"/>
      <c r="L808" s="200"/>
      <c r="M808" s="200"/>
      <c r="N808" s="200"/>
      <c r="O808" s="200"/>
      <c r="P808" s="200"/>
      <c r="Q808" s="200"/>
      <c r="R808" s="200"/>
      <c r="S808" s="200"/>
      <c r="T808" s="200"/>
    </row>
    <row r="809" ht="13.5" customHeight="1">
      <c r="A809" s="200"/>
      <c r="B809" s="200"/>
      <c r="C809" s="200"/>
      <c r="D809" s="200"/>
      <c r="E809" s="200"/>
      <c r="F809" s="200"/>
      <c r="G809" s="200"/>
      <c r="H809" s="200"/>
      <c r="I809" s="200"/>
      <c r="J809" s="200"/>
      <c r="K809" s="200"/>
      <c r="L809" s="200"/>
      <c r="M809" s="200"/>
      <c r="N809" s="200"/>
      <c r="O809" s="200"/>
      <c r="P809" s="200"/>
      <c r="Q809" s="200"/>
      <c r="R809" s="200"/>
      <c r="S809" s="200"/>
      <c r="T809" s="200"/>
    </row>
    <row r="810" ht="13.5" customHeight="1">
      <c r="A810" s="200"/>
      <c r="B810" s="200"/>
      <c r="C810" s="200"/>
      <c r="D810" s="200"/>
      <c r="E810" s="200"/>
      <c r="F810" s="200"/>
      <c r="G810" s="200"/>
      <c r="H810" s="200"/>
      <c r="I810" s="200"/>
      <c r="J810" s="200"/>
      <c r="K810" s="200"/>
      <c r="L810" s="200"/>
      <c r="M810" s="200"/>
      <c r="N810" s="200"/>
      <c r="O810" s="200"/>
      <c r="P810" s="200"/>
      <c r="Q810" s="200"/>
      <c r="R810" s="200"/>
      <c r="S810" s="200"/>
      <c r="T810" s="200"/>
    </row>
    <row r="811" ht="13.5" customHeight="1">
      <c r="A811" s="200"/>
      <c r="B811" s="200"/>
      <c r="C811" s="200"/>
      <c r="D811" s="200"/>
      <c r="E811" s="200"/>
      <c r="F811" s="200"/>
      <c r="G811" s="200"/>
      <c r="H811" s="200"/>
      <c r="I811" s="200"/>
      <c r="J811" s="200"/>
      <c r="K811" s="200"/>
      <c r="L811" s="200"/>
      <c r="M811" s="200"/>
      <c r="N811" s="200"/>
      <c r="O811" s="200"/>
      <c r="P811" s="200"/>
      <c r="Q811" s="200"/>
      <c r="R811" s="200"/>
      <c r="S811" s="200"/>
      <c r="T811" s="200"/>
    </row>
    <row r="812" ht="13.5" customHeight="1">
      <c r="A812" s="200"/>
      <c r="B812" s="200"/>
      <c r="C812" s="200"/>
      <c r="D812" s="200"/>
      <c r="E812" s="200"/>
      <c r="F812" s="200"/>
      <c r="G812" s="200"/>
      <c r="H812" s="200"/>
      <c r="I812" s="200"/>
      <c r="J812" s="200"/>
      <c r="K812" s="200"/>
      <c r="L812" s="200"/>
      <c r="M812" s="200"/>
      <c r="N812" s="200"/>
      <c r="O812" s="200"/>
      <c r="P812" s="200"/>
      <c r="Q812" s="200"/>
      <c r="R812" s="200"/>
      <c r="S812" s="200"/>
      <c r="T812" s="200"/>
    </row>
    <row r="813" ht="13.5" customHeight="1">
      <c r="A813" s="200"/>
      <c r="B813" s="200"/>
      <c r="C813" s="200"/>
      <c r="D813" s="200"/>
      <c r="E813" s="200"/>
      <c r="F813" s="200"/>
      <c r="G813" s="200"/>
      <c r="H813" s="200"/>
      <c r="I813" s="200"/>
      <c r="J813" s="200"/>
      <c r="K813" s="200"/>
      <c r="L813" s="200"/>
      <c r="M813" s="200"/>
      <c r="N813" s="200"/>
      <c r="O813" s="200"/>
      <c r="P813" s="200"/>
      <c r="Q813" s="200"/>
      <c r="R813" s="200"/>
      <c r="S813" s="200"/>
      <c r="T813" s="200"/>
    </row>
    <row r="814" ht="13.5" customHeight="1">
      <c r="A814" s="200"/>
      <c r="B814" s="200"/>
      <c r="C814" s="200"/>
      <c r="D814" s="200"/>
      <c r="E814" s="200"/>
      <c r="F814" s="200"/>
      <c r="G814" s="200"/>
      <c r="H814" s="200"/>
      <c r="I814" s="200"/>
      <c r="J814" s="200"/>
      <c r="K814" s="200"/>
      <c r="L814" s="200"/>
      <c r="M814" s="200"/>
      <c r="N814" s="200"/>
      <c r="O814" s="200"/>
      <c r="P814" s="200"/>
      <c r="Q814" s="200"/>
      <c r="R814" s="200"/>
      <c r="S814" s="200"/>
      <c r="T814" s="200"/>
    </row>
    <row r="815" ht="13.5" customHeight="1">
      <c r="A815" s="200"/>
      <c r="B815" s="200"/>
      <c r="C815" s="200"/>
      <c r="D815" s="200"/>
      <c r="E815" s="200"/>
      <c r="F815" s="200"/>
      <c r="G815" s="200"/>
      <c r="H815" s="200"/>
      <c r="I815" s="200"/>
      <c r="J815" s="200"/>
      <c r="K815" s="200"/>
      <c r="L815" s="200"/>
      <c r="M815" s="200"/>
      <c r="N815" s="200"/>
      <c r="O815" s="200"/>
      <c r="P815" s="200"/>
      <c r="Q815" s="200"/>
      <c r="R815" s="200"/>
      <c r="S815" s="200"/>
      <c r="T815" s="200"/>
    </row>
    <row r="816" ht="13.5" customHeight="1">
      <c r="A816" s="200"/>
      <c r="B816" s="200"/>
      <c r="C816" s="200"/>
      <c r="D816" s="200"/>
      <c r="E816" s="200"/>
      <c r="F816" s="200"/>
      <c r="G816" s="200"/>
      <c r="H816" s="200"/>
      <c r="I816" s="200"/>
      <c r="J816" s="200"/>
      <c r="K816" s="200"/>
      <c r="L816" s="200"/>
      <c r="M816" s="200"/>
      <c r="N816" s="200"/>
      <c r="O816" s="200"/>
      <c r="P816" s="200"/>
      <c r="Q816" s="200"/>
      <c r="R816" s="200"/>
      <c r="S816" s="200"/>
      <c r="T816" s="200"/>
    </row>
    <row r="817" ht="13.5" customHeight="1">
      <c r="A817" s="200"/>
      <c r="B817" s="200"/>
      <c r="C817" s="200"/>
      <c r="D817" s="200"/>
      <c r="E817" s="200"/>
      <c r="F817" s="200"/>
      <c r="G817" s="200"/>
      <c r="H817" s="200"/>
      <c r="I817" s="200"/>
      <c r="J817" s="200"/>
      <c r="K817" s="200"/>
      <c r="L817" s="200"/>
      <c r="M817" s="200"/>
      <c r="N817" s="200"/>
      <c r="O817" s="200"/>
      <c r="P817" s="200"/>
      <c r="Q817" s="200"/>
      <c r="R817" s="200"/>
      <c r="S817" s="200"/>
      <c r="T817" s="200"/>
    </row>
    <row r="818" ht="13.5" customHeight="1">
      <c r="A818" s="200"/>
      <c r="B818" s="200"/>
      <c r="C818" s="200"/>
      <c r="D818" s="200"/>
      <c r="E818" s="200"/>
      <c r="F818" s="200"/>
      <c r="G818" s="200"/>
      <c r="H818" s="200"/>
      <c r="I818" s="200"/>
      <c r="J818" s="200"/>
      <c r="K818" s="200"/>
      <c r="L818" s="200"/>
      <c r="M818" s="200"/>
      <c r="N818" s="200"/>
      <c r="O818" s="200"/>
      <c r="P818" s="200"/>
      <c r="Q818" s="200"/>
      <c r="R818" s="200"/>
      <c r="S818" s="200"/>
      <c r="T818" s="200"/>
    </row>
    <row r="819" ht="13.5" customHeight="1">
      <c r="A819" s="200"/>
      <c r="B819" s="200"/>
      <c r="C819" s="200"/>
      <c r="D819" s="200"/>
      <c r="E819" s="200"/>
      <c r="F819" s="200"/>
      <c r="G819" s="200"/>
      <c r="H819" s="200"/>
      <c r="I819" s="200"/>
      <c r="J819" s="200"/>
      <c r="K819" s="200"/>
      <c r="L819" s="200"/>
      <c r="M819" s="200"/>
      <c r="N819" s="200"/>
      <c r="O819" s="200"/>
      <c r="P819" s="200"/>
      <c r="Q819" s="200"/>
      <c r="R819" s="200"/>
      <c r="S819" s="200"/>
      <c r="T819" s="200"/>
    </row>
    <row r="820" ht="13.5" customHeight="1">
      <c r="A820" s="200"/>
      <c r="B820" s="200"/>
      <c r="C820" s="200"/>
      <c r="D820" s="200"/>
      <c r="E820" s="200"/>
      <c r="F820" s="200"/>
      <c r="G820" s="200"/>
      <c r="H820" s="200"/>
      <c r="I820" s="200"/>
      <c r="J820" s="200"/>
      <c r="K820" s="200"/>
      <c r="L820" s="200"/>
      <c r="M820" s="200"/>
      <c r="N820" s="200"/>
      <c r="O820" s="200"/>
      <c r="P820" s="200"/>
      <c r="Q820" s="200"/>
      <c r="R820" s="200"/>
      <c r="S820" s="200"/>
      <c r="T820" s="200"/>
    </row>
    <row r="821" ht="13.5" customHeight="1">
      <c r="A821" s="200"/>
      <c r="B821" s="200"/>
      <c r="C821" s="200"/>
      <c r="D821" s="200"/>
      <c r="E821" s="200"/>
      <c r="F821" s="200"/>
      <c r="G821" s="200"/>
      <c r="H821" s="200"/>
      <c r="I821" s="200"/>
      <c r="J821" s="200"/>
      <c r="K821" s="200"/>
      <c r="L821" s="200"/>
      <c r="M821" s="200"/>
      <c r="N821" s="200"/>
      <c r="O821" s="200"/>
      <c r="P821" s="200"/>
      <c r="Q821" s="200"/>
      <c r="R821" s="200"/>
      <c r="S821" s="200"/>
      <c r="T821" s="200"/>
    </row>
    <row r="822" ht="13.5" customHeight="1">
      <c r="A822" s="200"/>
      <c r="B822" s="200"/>
      <c r="C822" s="200"/>
      <c r="D822" s="200"/>
      <c r="E822" s="200"/>
      <c r="F822" s="200"/>
      <c r="G822" s="200"/>
      <c r="H822" s="200"/>
      <c r="I822" s="200"/>
      <c r="J822" s="200"/>
      <c r="K822" s="200"/>
      <c r="L822" s="200"/>
      <c r="M822" s="200"/>
      <c r="N822" s="200"/>
      <c r="O822" s="200"/>
      <c r="P822" s="200"/>
      <c r="Q822" s="200"/>
      <c r="R822" s="200"/>
      <c r="S822" s="200"/>
      <c r="T822" s="200"/>
    </row>
    <row r="823" ht="13.5" customHeight="1">
      <c r="A823" s="200"/>
      <c r="B823" s="200"/>
      <c r="C823" s="200"/>
      <c r="D823" s="200"/>
      <c r="E823" s="200"/>
      <c r="F823" s="200"/>
      <c r="G823" s="200"/>
      <c r="H823" s="200"/>
      <c r="I823" s="200"/>
      <c r="J823" s="200"/>
      <c r="K823" s="200"/>
      <c r="L823" s="200"/>
      <c r="M823" s="200"/>
      <c r="N823" s="200"/>
      <c r="O823" s="200"/>
      <c r="P823" s="200"/>
      <c r="Q823" s="200"/>
      <c r="R823" s="200"/>
      <c r="S823" s="200"/>
      <c r="T823" s="200"/>
    </row>
    <row r="824" ht="13.5" customHeight="1">
      <c r="A824" s="200"/>
      <c r="B824" s="200"/>
      <c r="C824" s="200"/>
      <c r="D824" s="200"/>
      <c r="E824" s="200"/>
      <c r="F824" s="200"/>
      <c r="G824" s="200"/>
      <c r="H824" s="200"/>
      <c r="I824" s="200"/>
      <c r="J824" s="200"/>
      <c r="K824" s="200"/>
      <c r="L824" s="200"/>
      <c r="M824" s="200"/>
      <c r="N824" s="200"/>
      <c r="O824" s="200"/>
      <c r="P824" s="200"/>
      <c r="Q824" s="200"/>
      <c r="R824" s="200"/>
      <c r="S824" s="200"/>
      <c r="T824" s="200"/>
    </row>
    <row r="825" ht="13.5" customHeight="1">
      <c r="A825" s="200"/>
      <c r="B825" s="200"/>
      <c r="C825" s="200"/>
      <c r="D825" s="200"/>
      <c r="E825" s="200"/>
      <c r="F825" s="200"/>
      <c r="G825" s="200"/>
      <c r="H825" s="200"/>
      <c r="I825" s="200"/>
      <c r="J825" s="200"/>
      <c r="K825" s="200"/>
      <c r="L825" s="200"/>
      <c r="M825" s="200"/>
      <c r="N825" s="200"/>
      <c r="O825" s="200"/>
      <c r="P825" s="200"/>
      <c r="Q825" s="200"/>
      <c r="R825" s="200"/>
      <c r="S825" s="200"/>
      <c r="T825" s="200"/>
    </row>
    <row r="826" ht="13.5" customHeight="1">
      <c r="A826" s="200"/>
      <c r="B826" s="200"/>
      <c r="C826" s="200"/>
      <c r="D826" s="200"/>
      <c r="E826" s="200"/>
      <c r="F826" s="200"/>
      <c r="G826" s="200"/>
      <c r="H826" s="200"/>
      <c r="I826" s="200"/>
      <c r="J826" s="200"/>
      <c r="K826" s="200"/>
      <c r="L826" s="200"/>
      <c r="M826" s="200"/>
      <c r="N826" s="200"/>
      <c r="O826" s="200"/>
      <c r="P826" s="200"/>
      <c r="Q826" s="200"/>
      <c r="R826" s="200"/>
      <c r="S826" s="200"/>
      <c r="T826" s="200"/>
    </row>
    <row r="827" ht="13.5" customHeight="1">
      <c r="A827" s="200"/>
      <c r="B827" s="200"/>
      <c r="C827" s="200"/>
      <c r="D827" s="200"/>
      <c r="E827" s="200"/>
      <c r="F827" s="200"/>
      <c r="G827" s="200"/>
      <c r="H827" s="200"/>
      <c r="I827" s="200"/>
      <c r="J827" s="200"/>
      <c r="K827" s="200"/>
      <c r="L827" s="200"/>
      <c r="M827" s="200"/>
      <c r="N827" s="200"/>
      <c r="O827" s="200"/>
      <c r="P827" s="200"/>
      <c r="Q827" s="200"/>
      <c r="R827" s="200"/>
      <c r="S827" s="200"/>
      <c r="T827" s="200"/>
    </row>
    <row r="828" ht="13.5" customHeight="1">
      <c r="A828" s="200"/>
      <c r="B828" s="200"/>
      <c r="C828" s="200"/>
      <c r="D828" s="200"/>
      <c r="E828" s="200"/>
      <c r="F828" s="200"/>
      <c r="G828" s="200"/>
      <c r="H828" s="200"/>
      <c r="I828" s="200"/>
      <c r="J828" s="200"/>
      <c r="K828" s="200"/>
      <c r="L828" s="200"/>
      <c r="M828" s="200"/>
      <c r="N828" s="200"/>
      <c r="O828" s="200"/>
      <c r="P828" s="200"/>
      <c r="Q828" s="200"/>
      <c r="R828" s="200"/>
      <c r="S828" s="200"/>
      <c r="T828" s="200"/>
    </row>
    <row r="829" ht="13.5" customHeight="1">
      <c r="A829" s="200"/>
      <c r="B829" s="200"/>
      <c r="C829" s="200"/>
      <c r="D829" s="200"/>
      <c r="E829" s="200"/>
      <c r="F829" s="200"/>
      <c r="G829" s="200"/>
      <c r="H829" s="200"/>
      <c r="I829" s="200"/>
      <c r="J829" s="200"/>
      <c r="K829" s="200"/>
      <c r="L829" s="200"/>
      <c r="M829" s="200"/>
      <c r="N829" s="200"/>
      <c r="O829" s="200"/>
      <c r="P829" s="200"/>
      <c r="Q829" s="200"/>
      <c r="R829" s="200"/>
      <c r="S829" s="200"/>
      <c r="T829" s="200"/>
    </row>
    <row r="830" ht="13.5" customHeight="1">
      <c r="A830" s="200"/>
      <c r="B830" s="200"/>
      <c r="C830" s="200"/>
      <c r="D830" s="200"/>
      <c r="E830" s="200"/>
      <c r="F830" s="200"/>
      <c r="G830" s="200"/>
      <c r="H830" s="200"/>
      <c r="I830" s="200"/>
      <c r="J830" s="200"/>
      <c r="K830" s="200"/>
      <c r="L830" s="200"/>
      <c r="M830" s="200"/>
      <c r="N830" s="200"/>
      <c r="O830" s="200"/>
      <c r="P830" s="200"/>
      <c r="Q830" s="200"/>
      <c r="R830" s="200"/>
      <c r="S830" s="200"/>
      <c r="T830" s="200"/>
    </row>
    <row r="831" ht="13.5" customHeight="1">
      <c r="A831" s="200"/>
      <c r="B831" s="200"/>
      <c r="C831" s="200"/>
      <c r="D831" s="200"/>
      <c r="E831" s="200"/>
      <c r="F831" s="200"/>
      <c r="G831" s="200"/>
      <c r="H831" s="200"/>
      <c r="I831" s="200"/>
      <c r="J831" s="200"/>
      <c r="K831" s="200"/>
      <c r="L831" s="200"/>
      <c r="M831" s="200"/>
      <c r="N831" s="200"/>
      <c r="O831" s="200"/>
      <c r="P831" s="200"/>
      <c r="Q831" s="200"/>
      <c r="R831" s="200"/>
      <c r="S831" s="200"/>
      <c r="T831" s="200"/>
    </row>
    <row r="832" ht="13.5" customHeight="1">
      <c r="A832" s="200"/>
      <c r="B832" s="200"/>
      <c r="C832" s="200"/>
      <c r="D832" s="200"/>
      <c r="E832" s="200"/>
      <c r="F832" s="200"/>
      <c r="G832" s="200"/>
      <c r="H832" s="200"/>
      <c r="I832" s="200"/>
      <c r="J832" s="200"/>
      <c r="K832" s="200"/>
      <c r="L832" s="200"/>
      <c r="M832" s="200"/>
      <c r="N832" s="200"/>
      <c r="O832" s="200"/>
      <c r="P832" s="200"/>
      <c r="Q832" s="200"/>
      <c r="R832" s="200"/>
      <c r="S832" s="200"/>
      <c r="T832" s="200"/>
    </row>
    <row r="833" ht="13.5" customHeight="1">
      <c r="A833" s="200"/>
      <c r="B833" s="200"/>
      <c r="C833" s="200"/>
      <c r="D833" s="200"/>
      <c r="E833" s="200"/>
      <c r="F833" s="200"/>
      <c r="G833" s="200"/>
      <c r="H833" s="200"/>
      <c r="I833" s="200"/>
      <c r="J833" s="200"/>
      <c r="K833" s="200"/>
      <c r="L833" s="200"/>
      <c r="M833" s="200"/>
      <c r="N833" s="200"/>
      <c r="O833" s="200"/>
      <c r="P833" s="200"/>
      <c r="Q833" s="200"/>
      <c r="R833" s="200"/>
      <c r="S833" s="200"/>
      <c r="T833" s="200"/>
    </row>
    <row r="834" ht="13.5" customHeight="1">
      <c r="A834" s="200"/>
      <c r="B834" s="200"/>
      <c r="C834" s="200"/>
      <c r="D834" s="200"/>
      <c r="E834" s="200"/>
      <c r="F834" s="200"/>
      <c r="G834" s="200"/>
      <c r="H834" s="200"/>
      <c r="I834" s="200"/>
      <c r="J834" s="200"/>
      <c r="K834" s="200"/>
      <c r="L834" s="200"/>
      <c r="M834" s="200"/>
      <c r="N834" s="200"/>
      <c r="O834" s="200"/>
      <c r="P834" s="200"/>
      <c r="Q834" s="200"/>
      <c r="R834" s="200"/>
      <c r="S834" s="200"/>
      <c r="T834" s="200"/>
    </row>
    <row r="835" ht="13.5" customHeight="1">
      <c r="A835" s="200"/>
      <c r="B835" s="200"/>
      <c r="C835" s="200"/>
      <c r="D835" s="200"/>
      <c r="E835" s="200"/>
      <c r="F835" s="200"/>
      <c r="G835" s="200"/>
      <c r="H835" s="200"/>
      <c r="I835" s="200"/>
      <c r="J835" s="200"/>
      <c r="K835" s="200"/>
      <c r="L835" s="200"/>
      <c r="M835" s="200"/>
      <c r="N835" s="200"/>
      <c r="O835" s="200"/>
      <c r="P835" s="200"/>
      <c r="Q835" s="200"/>
      <c r="R835" s="200"/>
      <c r="S835" s="200"/>
      <c r="T835" s="200"/>
    </row>
    <row r="836" ht="13.5" customHeight="1">
      <c r="A836" s="200"/>
      <c r="B836" s="200"/>
      <c r="C836" s="200"/>
      <c r="D836" s="200"/>
      <c r="E836" s="200"/>
      <c r="F836" s="200"/>
      <c r="G836" s="200"/>
      <c r="H836" s="200"/>
      <c r="I836" s="200"/>
      <c r="J836" s="200"/>
      <c r="K836" s="200"/>
      <c r="L836" s="200"/>
      <c r="M836" s="200"/>
      <c r="N836" s="200"/>
      <c r="O836" s="200"/>
      <c r="P836" s="200"/>
      <c r="Q836" s="200"/>
      <c r="R836" s="200"/>
      <c r="S836" s="200"/>
      <c r="T836" s="200"/>
    </row>
    <row r="837" ht="13.5" customHeight="1">
      <c r="A837" s="200"/>
      <c r="B837" s="200"/>
      <c r="C837" s="200"/>
      <c r="D837" s="200"/>
      <c r="E837" s="200"/>
      <c r="F837" s="200"/>
      <c r="G837" s="200"/>
      <c r="H837" s="200"/>
      <c r="I837" s="200"/>
      <c r="J837" s="200"/>
      <c r="K837" s="200"/>
      <c r="L837" s="200"/>
      <c r="M837" s="200"/>
      <c r="N837" s="200"/>
      <c r="O837" s="200"/>
      <c r="P837" s="200"/>
      <c r="Q837" s="200"/>
      <c r="R837" s="200"/>
      <c r="S837" s="200"/>
      <c r="T837" s="200"/>
    </row>
    <row r="838" ht="13.5" customHeight="1">
      <c r="A838" s="200"/>
      <c r="B838" s="200"/>
      <c r="C838" s="200"/>
      <c r="D838" s="200"/>
      <c r="E838" s="200"/>
      <c r="F838" s="200"/>
      <c r="G838" s="200"/>
      <c r="H838" s="200"/>
      <c r="I838" s="200"/>
      <c r="J838" s="200"/>
      <c r="K838" s="200"/>
      <c r="L838" s="200"/>
      <c r="M838" s="200"/>
      <c r="N838" s="200"/>
      <c r="O838" s="200"/>
      <c r="P838" s="200"/>
      <c r="Q838" s="200"/>
      <c r="R838" s="200"/>
      <c r="S838" s="200"/>
      <c r="T838" s="200"/>
    </row>
    <row r="839" ht="13.5" customHeight="1">
      <c r="A839" s="200"/>
      <c r="B839" s="200"/>
      <c r="C839" s="200"/>
      <c r="D839" s="200"/>
      <c r="E839" s="200"/>
      <c r="F839" s="200"/>
      <c r="G839" s="200"/>
      <c r="H839" s="200"/>
      <c r="I839" s="200"/>
      <c r="J839" s="200"/>
      <c r="K839" s="200"/>
      <c r="L839" s="200"/>
      <c r="M839" s="200"/>
      <c r="N839" s="200"/>
      <c r="O839" s="200"/>
      <c r="P839" s="200"/>
      <c r="Q839" s="200"/>
      <c r="R839" s="200"/>
      <c r="S839" s="200"/>
      <c r="T839" s="200"/>
    </row>
    <row r="840" ht="13.5" customHeight="1">
      <c r="A840" s="200"/>
      <c r="B840" s="200"/>
      <c r="C840" s="200"/>
      <c r="D840" s="200"/>
      <c r="E840" s="200"/>
      <c r="F840" s="200"/>
      <c r="G840" s="200"/>
      <c r="H840" s="200"/>
      <c r="I840" s="200"/>
      <c r="J840" s="200"/>
      <c r="K840" s="200"/>
      <c r="L840" s="200"/>
      <c r="M840" s="200"/>
      <c r="N840" s="200"/>
      <c r="O840" s="200"/>
      <c r="P840" s="200"/>
      <c r="Q840" s="200"/>
      <c r="R840" s="200"/>
      <c r="S840" s="200"/>
      <c r="T840" s="200"/>
    </row>
    <row r="841" ht="13.5" customHeight="1">
      <c r="A841" s="200"/>
      <c r="B841" s="200"/>
      <c r="C841" s="200"/>
      <c r="D841" s="200"/>
      <c r="E841" s="200"/>
      <c r="F841" s="200"/>
      <c r="G841" s="200"/>
      <c r="H841" s="200"/>
      <c r="I841" s="200"/>
      <c r="J841" s="200"/>
      <c r="K841" s="200"/>
      <c r="L841" s="200"/>
      <c r="M841" s="200"/>
      <c r="N841" s="200"/>
      <c r="O841" s="200"/>
      <c r="P841" s="200"/>
      <c r="Q841" s="200"/>
      <c r="R841" s="200"/>
      <c r="S841" s="200"/>
      <c r="T841" s="200"/>
    </row>
    <row r="842" ht="13.5" customHeight="1">
      <c r="A842" s="200"/>
      <c r="B842" s="200"/>
      <c r="C842" s="200"/>
      <c r="D842" s="200"/>
      <c r="E842" s="200"/>
      <c r="F842" s="200"/>
      <c r="G842" s="200"/>
      <c r="H842" s="200"/>
      <c r="I842" s="200"/>
      <c r="J842" s="200"/>
      <c r="K842" s="200"/>
      <c r="L842" s="200"/>
      <c r="M842" s="200"/>
      <c r="N842" s="200"/>
      <c r="O842" s="200"/>
      <c r="P842" s="200"/>
      <c r="Q842" s="200"/>
      <c r="R842" s="200"/>
      <c r="S842" s="200"/>
      <c r="T842" s="200"/>
    </row>
    <row r="843" ht="13.5" customHeight="1">
      <c r="A843" s="200"/>
      <c r="B843" s="200"/>
      <c r="C843" s="200"/>
      <c r="D843" s="200"/>
      <c r="E843" s="200"/>
      <c r="F843" s="200"/>
      <c r="G843" s="200"/>
      <c r="H843" s="200"/>
      <c r="I843" s="200"/>
      <c r="J843" s="200"/>
      <c r="K843" s="200"/>
      <c r="L843" s="200"/>
      <c r="M843" s="200"/>
      <c r="N843" s="200"/>
      <c r="O843" s="200"/>
      <c r="P843" s="200"/>
      <c r="Q843" s="200"/>
      <c r="R843" s="200"/>
      <c r="S843" s="200"/>
      <c r="T843" s="200"/>
    </row>
    <row r="844" ht="13.5" customHeight="1">
      <c r="A844" s="200"/>
      <c r="B844" s="200"/>
      <c r="C844" s="200"/>
      <c r="D844" s="200"/>
      <c r="E844" s="200"/>
      <c r="F844" s="200"/>
      <c r="G844" s="200"/>
      <c r="H844" s="200"/>
      <c r="I844" s="200"/>
      <c r="J844" s="200"/>
      <c r="K844" s="200"/>
      <c r="L844" s="200"/>
      <c r="M844" s="200"/>
      <c r="N844" s="200"/>
      <c r="O844" s="200"/>
      <c r="P844" s="200"/>
      <c r="Q844" s="200"/>
      <c r="R844" s="200"/>
      <c r="S844" s="200"/>
      <c r="T844" s="200"/>
    </row>
    <row r="845" ht="13.5" customHeight="1">
      <c r="A845" s="200"/>
      <c r="B845" s="200"/>
      <c r="C845" s="200"/>
      <c r="D845" s="200"/>
      <c r="E845" s="200"/>
      <c r="F845" s="200"/>
      <c r="G845" s="200"/>
      <c r="H845" s="200"/>
      <c r="I845" s="200"/>
      <c r="J845" s="200"/>
      <c r="K845" s="200"/>
      <c r="L845" s="200"/>
      <c r="M845" s="200"/>
      <c r="N845" s="200"/>
      <c r="O845" s="200"/>
      <c r="P845" s="200"/>
      <c r="Q845" s="200"/>
      <c r="R845" s="200"/>
      <c r="S845" s="200"/>
      <c r="T845" s="200"/>
    </row>
    <row r="846" ht="13.5" customHeight="1">
      <c r="A846" s="200"/>
      <c r="B846" s="200"/>
      <c r="C846" s="200"/>
      <c r="D846" s="200"/>
      <c r="E846" s="200"/>
      <c r="F846" s="200"/>
      <c r="G846" s="200"/>
      <c r="H846" s="200"/>
      <c r="I846" s="200"/>
      <c r="J846" s="200"/>
      <c r="K846" s="200"/>
      <c r="L846" s="200"/>
      <c r="M846" s="200"/>
      <c r="N846" s="200"/>
      <c r="O846" s="200"/>
      <c r="P846" s="200"/>
      <c r="Q846" s="200"/>
      <c r="R846" s="200"/>
      <c r="S846" s="200"/>
      <c r="T846" s="200"/>
    </row>
    <row r="847" ht="13.5" customHeight="1">
      <c r="A847" s="200"/>
      <c r="B847" s="200"/>
      <c r="C847" s="200"/>
      <c r="D847" s="200"/>
      <c r="E847" s="200"/>
      <c r="F847" s="200"/>
      <c r="G847" s="200"/>
      <c r="H847" s="200"/>
      <c r="I847" s="200"/>
      <c r="J847" s="200"/>
      <c r="K847" s="200"/>
      <c r="L847" s="200"/>
      <c r="M847" s="200"/>
      <c r="N847" s="200"/>
      <c r="O847" s="200"/>
      <c r="P847" s="200"/>
      <c r="Q847" s="200"/>
      <c r="R847" s="200"/>
      <c r="S847" s="200"/>
      <c r="T847" s="200"/>
    </row>
    <row r="848" ht="13.5" customHeight="1">
      <c r="A848" s="200"/>
      <c r="B848" s="200"/>
      <c r="C848" s="200"/>
      <c r="D848" s="200"/>
      <c r="E848" s="200"/>
      <c r="F848" s="200"/>
      <c r="G848" s="200"/>
      <c r="H848" s="200"/>
      <c r="I848" s="200"/>
      <c r="J848" s="200"/>
      <c r="K848" s="200"/>
      <c r="L848" s="200"/>
      <c r="M848" s="200"/>
      <c r="N848" s="200"/>
      <c r="O848" s="200"/>
      <c r="P848" s="200"/>
      <c r="Q848" s="200"/>
      <c r="R848" s="200"/>
      <c r="S848" s="200"/>
      <c r="T848" s="200"/>
    </row>
    <row r="849" ht="13.5" customHeight="1">
      <c r="A849" s="200"/>
      <c r="B849" s="200"/>
      <c r="C849" s="200"/>
      <c r="D849" s="200"/>
      <c r="E849" s="200"/>
      <c r="F849" s="200"/>
      <c r="G849" s="200"/>
      <c r="H849" s="200"/>
      <c r="I849" s="200"/>
      <c r="J849" s="200"/>
      <c r="K849" s="200"/>
      <c r="L849" s="200"/>
      <c r="M849" s="200"/>
      <c r="N849" s="200"/>
      <c r="O849" s="200"/>
      <c r="P849" s="200"/>
      <c r="Q849" s="200"/>
      <c r="R849" s="200"/>
      <c r="S849" s="200"/>
      <c r="T849" s="200"/>
    </row>
    <row r="850" ht="13.5" customHeight="1">
      <c r="A850" s="200"/>
      <c r="B850" s="200"/>
      <c r="C850" s="200"/>
      <c r="D850" s="200"/>
      <c r="E850" s="200"/>
      <c r="F850" s="200"/>
      <c r="G850" s="200"/>
      <c r="H850" s="200"/>
      <c r="I850" s="200"/>
      <c r="J850" s="200"/>
      <c r="K850" s="200"/>
      <c r="L850" s="200"/>
      <c r="M850" s="200"/>
      <c r="N850" s="200"/>
      <c r="O850" s="200"/>
      <c r="P850" s="200"/>
      <c r="Q850" s="200"/>
      <c r="R850" s="200"/>
      <c r="S850" s="200"/>
      <c r="T850" s="200"/>
    </row>
    <row r="851" ht="13.5" customHeight="1">
      <c r="A851" s="200"/>
      <c r="B851" s="200"/>
      <c r="C851" s="200"/>
      <c r="D851" s="200"/>
      <c r="E851" s="200"/>
      <c r="F851" s="200"/>
      <c r="G851" s="200"/>
      <c r="H851" s="200"/>
      <c r="I851" s="200"/>
      <c r="J851" s="200"/>
      <c r="K851" s="200"/>
      <c r="L851" s="200"/>
      <c r="M851" s="200"/>
      <c r="N851" s="200"/>
      <c r="O851" s="200"/>
      <c r="P851" s="200"/>
      <c r="Q851" s="200"/>
      <c r="R851" s="200"/>
      <c r="S851" s="200"/>
      <c r="T851" s="200"/>
    </row>
    <row r="852" ht="13.5" customHeight="1">
      <c r="A852" s="200"/>
      <c r="B852" s="200"/>
      <c r="C852" s="200"/>
      <c r="D852" s="200"/>
      <c r="E852" s="200"/>
      <c r="F852" s="200"/>
      <c r="G852" s="200"/>
      <c r="H852" s="200"/>
      <c r="I852" s="200"/>
      <c r="J852" s="200"/>
      <c r="K852" s="200"/>
      <c r="L852" s="200"/>
      <c r="M852" s="200"/>
      <c r="N852" s="200"/>
      <c r="O852" s="200"/>
      <c r="P852" s="200"/>
      <c r="Q852" s="200"/>
      <c r="R852" s="200"/>
      <c r="S852" s="200"/>
      <c r="T852" s="200"/>
    </row>
    <row r="853" ht="13.5" customHeight="1">
      <c r="A853" s="200"/>
      <c r="B853" s="200"/>
      <c r="C853" s="200"/>
      <c r="D853" s="200"/>
      <c r="E853" s="200"/>
      <c r="F853" s="200"/>
      <c r="G853" s="200"/>
      <c r="H853" s="200"/>
      <c r="I853" s="200"/>
      <c r="J853" s="200"/>
      <c r="K853" s="200"/>
      <c r="L853" s="200"/>
      <c r="M853" s="200"/>
      <c r="N853" s="200"/>
      <c r="O853" s="200"/>
      <c r="P853" s="200"/>
      <c r="Q853" s="200"/>
      <c r="R853" s="200"/>
      <c r="S853" s="200"/>
      <c r="T853" s="200"/>
    </row>
    <row r="854" ht="13.5" customHeight="1">
      <c r="A854" s="200"/>
      <c r="B854" s="200"/>
      <c r="C854" s="200"/>
      <c r="D854" s="200"/>
      <c r="E854" s="200"/>
      <c r="F854" s="200"/>
      <c r="G854" s="200"/>
      <c r="H854" s="200"/>
      <c r="I854" s="200"/>
      <c r="J854" s="200"/>
      <c r="K854" s="200"/>
      <c r="L854" s="200"/>
      <c r="M854" s="200"/>
      <c r="N854" s="200"/>
      <c r="O854" s="200"/>
      <c r="P854" s="200"/>
      <c r="Q854" s="200"/>
      <c r="R854" s="200"/>
      <c r="S854" s="200"/>
      <c r="T854" s="200"/>
    </row>
    <row r="855" ht="13.5" customHeight="1">
      <c r="A855" s="200"/>
      <c r="B855" s="200"/>
      <c r="C855" s="200"/>
      <c r="D855" s="200"/>
      <c r="E855" s="200"/>
      <c r="F855" s="200"/>
      <c r="G855" s="200"/>
      <c r="H855" s="200"/>
      <c r="I855" s="200"/>
      <c r="J855" s="200"/>
      <c r="K855" s="200"/>
      <c r="L855" s="200"/>
      <c r="M855" s="200"/>
      <c r="N855" s="200"/>
      <c r="O855" s="200"/>
      <c r="P855" s="200"/>
      <c r="Q855" s="200"/>
      <c r="R855" s="200"/>
      <c r="S855" s="200"/>
      <c r="T855" s="200"/>
    </row>
    <row r="856" ht="13.5" customHeight="1">
      <c r="A856" s="200"/>
      <c r="B856" s="200"/>
      <c r="C856" s="200"/>
      <c r="D856" s="200"/>
      <c r="E856" s="200"/>
      <c r="F856" s="200"/>
      <c r="G856" s="200"/>
      <c r="H856" s="200"/>
      <c r="I856" s="200"/>
      <c r="J856" s="200"/>
      <c r="K856" s="200"/>
      <c r="L856" s="200"/>
      <c r="M856" s="200"/>
      <c r="N856" s="200"/>
      <c r="O856" s="200"/>
      <c r="P856" s="200"/>
      <c r="Q856" s="200"/>
      <c r="R856" s="200"/>
      <c r="S856" s="200"/>
      <c r="T856" s="200"/>
    </row>
    <row r="857" ht="13.5" customHeight="1">
      <c r="A857" s="200"/>
      <c r="B857" s="200"/>
      <c r="C857" s="200"/>
      <c r="D857" s="200"/>
      <c r="E857" s="200"/>
      <c r="F857" s="200"/>
      <c r="G857" s="200"/>
      <c r="H857" s="200"/>
      <c r="I857" s="200"/>
      <c r="J857" s="200"/>
      <c r="K857" s="200"/>
      <c r="L857" s="200"/>
      <c r="M857" s="200"/>
      <c r="N857" s="200"/>
      <c r="O857" s="200"/>
      <c r="P857" s="200"/>
      <c r="Q857" s="200"/>
      <c r="R857" s="200"/>
      <c r="S857" s="200"/>
      <c r="T857" s="200"/>
    </row>
    <row r="858" ht="13.5" customHeight="1">
      <c r="A858" s="200"/>
      <c r="B858" s="200"/>
      <c r="C858" s="200"/>
      <c r="D858" s="200"/>
      <c r="E858" s="200"/>
      <c r="F858" s="200"/>
      <c r="G858" s="200"/>
      <c r="H858" s="200"/>
      <c r="I858" s="200"/>
      <c r="J858" s="200"/>
      <c r="K858" s="200"/>
      <c r="L858" s="200"/>
      <c r="M858" s="200"/>
      <c r="N858" s="200"/>
      <c r="O858" s="200"/>
      <c r="P858" s="200"/>
      <c r="Q858" s="200"/>
      <c r="R858" s="200"/>
      <c r="S858" s="200"/>
      <c r="T858" s="200"/>
    </row>
    <row r="859" ht="13.5" customHeight="1">
      <c r="A859" s="200"/>
      <c r="B859" s="200"/>
      <c r="C859" s="200"/>
      <c r="D859" s="200"/>
      <c r="E859" s="200"/>
      <c r="F859" s="200"/>
      <c r="G859" s="200"/>
      <c r="H859" s="200"/>
      <c r="I859" s="200"/>
      <c r="J859" s="200"/>
      <c r="K859" s="200"/>
      <c r="L859" s="200"/>
      <c r="M859" s="200"/>
      <c r="N859" s="200"/>
      <c r="O859" s="200"/>
      <c r="P859" s="200"/>
      <c r="Q859" s="200"/>
      <c r="R859" s="200"/>
      <c r="S859" s="200"/>
      <c r="T859" s="200"/>
    </row>
    <row r="860" ht="13.5" customHeight="1">
      <c r="A860" s="200"/>
      <c r="B860" s="200"/>
      <c r="C860" s="200"/>
      <c r="D860" s="200"/>
      <c r="E860" s="200"/>
      <c r="F860" s="200"/>
      <c r="G860" s="200"/>
      <c r="H860" s="200"/>
      <c r="I860" s="200"/>
      <c r="J860" s="200"/>
      <c r="K860" s="200"/>
      <c r="L860" s="200"/>
      <c r="M860" s="200"/>
      <c r="N860" s="200"/>
      <c r="O860" s="200"/>
      <c r="P860" s="200"/>
      <c r="Q860" s="200"/>
      <c r="R860" s="200"/>
      <c r="S860" s="200"/>
      <c r="T860" s="200"/>
    </row>
    <row r="861" ht="13.5" customHeight="1">
      <c r="A861" s="200"/>
      <c r="B861" s="200"/>
      <c r="C861" s="200"/>
      <c r="D861" s="200"/>
      <c r="E861" s="200"/>
      <c r="F861" s="200"/>
      <c r="G861" s="200"/>
      <c r="H861" s="200"/>
      <c r="I861" s="200"/>
      <c r="J861" s="200"/>
      <c r="K861" s="200"/>
      <c r="L861" s="200"/>
      <c r="M861" s="200"/>
      <c r="N861" s="200"/>
      <c r="O861" s="200"/>
      <c r="P861" s="200"/>
      <c r="Q861" s="200"/>
      <c r="R861" s="200"/>
      <c r="S861" s="200"/>
      <c r="T861" s="200"/>
    </row>
    <row r="862" ht="13.5" customHeight="1">
      <c r="A862" s="200"/>
      <c r="B862" s="200"/>
      <c r="C862" s="200"/>
      <c r="D862" s="200"/>
      <c r="E862" s="200"/>
      <c r="F862" s="200"/>
      <c r="G862" s="200"/>
      <c r="H862" s="200"/>
      <c r="I862" s="200"/>
      <c r="J862" s="200"/>
      <c r="K862" s="200"/>
      <c r="L862" s="200"/>
      <c r="M862" s="200"/>
      <c r="N862" s="200"/>
      <c r="O862" s="200"/>
      <c r="P862" s="200"/>
      <c r="Q862" s="200"/>
      <c r="R862" s="200"/>
      <c r="S862" s="200"/>
      <c r="T862" s="200"/>
    </row>
    <row r="863" ht="13.5" customHeight="1">
      <c r="A863" s="200"/>
      <c r="B863" s="200"/>
      <c r="C863" s="200"/>
      <c r="D863" s="200"/>
      <c r="E863" s="200"/>
      <c r="F863" s="200"/>
      <c r="G863" s="200"/>
      <c r="H863" s="200"/>
      <c r="I863" s="200"/>
      <c r="J863" s="200"/>
      <c r="K863" s="200"/>
      <c r="L863" s="200"/>
      <c r="M863" s="200"/>
      <c r="N863" s="200"/>
      <c r="O863" s="200"/>
      <c r="P863" s="200"/>
      <c r="Q863" s="200"/>
      <c r="R863" s="200"/>
      <c r="S863" s="200"/>
      <c r="T863" s="200"/>
    </row>
    <row r="864" ht="13.5" customHeight="1">
      <c r="A864" s="200"/>
      <c r="B864" s="200"/>
      <c r="C864" s="200"/>
      <c r="D864" s="200"/>
      <c r="E864" s="200"/>
      <c r="F864" s="200"/>
      <c r="G864" s="200"/>
      <c r="H864" s="200"/>
      <c r="I864" s="200"/>
      <c r="J864" s="200"/>
      <c r="K864" s="200"/>
      <c r="L864" s="200"/>
      <c r="M864" s="200"/>
      <c r="N864" s="200"/>
      <c r="O864" s="200"/>
      <c r="P864" s="200"/>
      <c r="Q864" s="200"/>
      <c r="R864" s="200"/>
      <c r="S864" s="200"/>
      <c r="T864" s="200"/>
    </row>
    <row r="865" ht="13.5" customHeight="1">
      <c r="A865" s="200"/>
      <c r="B865" s="200"/>
      <c r="C865" s="200"/>
      <c r="D865" s="200"/>
      <c r="E865" s="200"/>
      <c r="F865" s="200"/>
      <c r="G865" s="200"/>
      <c r="H865" s="200"/>
      <c r="I865" s="200"/>
      <c r="J865" s="200"/>
      <c r="K865" s="200"/>
      <c r="L865" s="200"/>
      <c r="M865" s="200"/>
      <c r="N865" s="200"/>
      <c r="O865" s="200"/>
      <c r="P865" s="200"/>
      <c r="Q865" s="200"/>
      <c r="R865" s="200"/>
      <c r="S865" s="200"/>
      <c r="T865" s="200"/>
    </row>
    <row r="866" ht="13.5" customHeight="1">
      <c r="A866" s="200"/>
      <c r="B866" s="200"/>
      <c r="C866" s="200"/>
      <c r="D866" s="200"/>
      <c r="E866" s="200"/>
      <c r="F866" s="200"/>
      <c r="G866" s="200"/>
      <c r="H866" s="200"/>
      <c r="I866" s="200"/>
      <c r="J866" s="200"/>
      <c r="K866" s="200"/>
      <c r="L866" s="200"/>
      <c r="M866" s="200"/>
      <c r="N866" s="200"/>
      <c r="O866" s="200"/>
      <c r="P866" s="200"/>
      <c r="Q866" s="200"/>
      <c r="R866" s="200"/>
      <c r="S866" s="200"/>
      <c r="T866" s="200"/>
    </row>
    <row r="867" ht="13.5" customHeight="1">
      <c r="A867" s="200"/>
      <c r="B867" s="200"/>
      <c r="C867" s="200"/>
      <c r="D867" s="200"/>
      <c r="E867" s="200"/>
      <c r="F867" s="200"/>
      <c r="G867" s="200"/>
      <c r="H867" s="200"/>
      <c r="I867" s="200"/>
      <c r="J867" s="200"/>
      <c r="K867" s="200"/>
      <c r="L867" s="200"/>
      <c r="M867" s="200"/>
      <c r="N867" s="200"/>
      <c r="O867" s="200"/>
      <c r="P867" s="200"/>
      <c r="Q867" s="200"/>
      <c r="R867" s="200"/>
      <c r="S867" s="200"/>
      <c r="T867" s="200"/>
    </row>
    <row r="868" ht="13.5" customHeight="1">
      <c r="A868" s="200"/>
      <c r="B868" s="200"/>
      <c r="C868" s="200"/>
      <c r="D868" s="200"/>
      <c r="E868" s="200"/>
      <c r="F868" s="200"/>
      <c r="G868" s="200"/>
      <c r="H868" s="200"/>
      <c r="I868" s="200"/>
      <c r="J868" s="200"/>
      <c r="K868" s="200"/>
      <c r="L868" s="200"/>
      <c r="M868" s="200"/>
      <c r="N868" s="200"/>
      <c r="O868" s="200"/>
      <c r="P868" s="200"/>
      <c r="Q868" s="200"/>
      <c r="R868" s="200"/>
      <c r="S868" s="200"/>
      <c r="T868" s="200"/>
    </row>
    <row r="869" ht="13.5" customHeight="1">
      <c r="A869" s="200"/>
      <c r="B869" s="200"/>
      <c r="C869" s="200"/>
      <c r="D869" s="200"/>
      <c r="E869" s="200"/>
      <c r="F869" s="200"/>
      <c r="G869" s="200"/>
      <c r="H869" s="200"/>
      <c r="I869" s="200"/>
      <c r="J869" s="200"/>
      <c r="K869" s="200"/>
      <c r="L869" s="200"/>
      <c r="M869" s="200"/>
      <c r="N869" s="200"/>
      <c r="O869" s="200"/>
      <c r="P869" s="200"/>
      <c r="Q869" s="200"/>
      <c r="R869" s="200"/>
      <c r="S869" s="200"/>
      <c r="T869" s="200"/>
    </row>
    <row r="870" ht="13.5" customHeight="1">
      <c r="A870" s="200"/>
      <c r="B870" s="200"/>
      <c r="C870" s="200"/>
      <c r="D870" s="200"/>
      <c r="E870" s="200"/>
      <c r="F870" s="200"/>
      <c r="G870" s="200"/>
      <c r="H870" s="200"/>
      <c r="I870" s="200"/>
      <c r="J870" s="200"/>
      <c r="K870" s="200"/>
      <c r="L870" s="200"/>
      <c r="M870" s="200"/>
      <c r="N870" s="200"/>
      <c r="O870" s="200"/>
      <c r="P870" s="200"/>
      <c r="Q870" s="200"/>
      <c r="R870" s="200"/>
      <c r="S870" s="200"/>
      <c r="T870" s="200"/>
    </row>
    <row r="871" ht="13.5" customHeight="1">
      <c r="A871" s="200"/>
      <c r="B871" s="200"/>
      <c r="C871" s="200"/>
      <c r="D871" s="200"/>
      <c r="E871" s="200"/>
      <c r="F871" s="200"/>
      <c r="G871" s="200"/>
      <c r="H871" s="200"/>
      <c r="I871" s="200"/>
      <c r="J871" s="200"/>
      <c r="K871" s="200"/>
      <c r="L871" s="200"/>
      <c r="M871" s="200"/>
      <c r="N871" s="200"/>
      <c r="O871" s="200"/>
      <c r="P871" s="200"/>
      <c r="Q871" s="200"/>
      <c r="R871" s="200"/>
      <c r="S871" s="200"/>
      <c r="T871" s="200"/>
    </row>
    <row r="872" ht="13.5" customHeight="1">
      <c r="A872" s="200"/>
      <c r="B872" s="200"/>
      <c r="C872" s="200"/>
      <c r="D872" s="200"/>
      <c r="E872" s="200"/>
      <c r="F872" s="200"/>
      <c r="G872" s="200"/>
      <c r="H872" s="200"/>
      <c r="I872" s="200"/>
      <c r="J872" s="200"/>
      <c r="K872" s="200"/>
      <c r="L872" s="200"/>
      <c r="M872" s="200"/>
      <c r="N872" s="200"/>
      <c r="O872" s="200"/>
      <c r="P872" s="200"/>
      <c r="Q872" s="200"/>
      <c r="R872" s="200"/>
      <c r="S872" s="200"/>
      <c r="T872" s="200"/>
    </row>
    <row r="873" ht="13.5" customHeight="1">
      <c r="A873" s="200"/>
      <c r="B873" s="200"/>
      <c r="C873" s="200"/>
      <c r="D873" s="200"/>
      <c r="E873" s="200"/>
      <c r="F873" s="200"/>
      <c r="G873" s="200"/>
      <c r="H873" s="200"/>
      <c r="I873" s="200"/>
      <c r="J873" s="200"/>
      <c r="K873" s="200"/>
      <c r="L873" s="200"/>
      <c r="M873" s="200"/>
      <c r="N873" s="200"/>
      <c r="O873" s="200"/>
      <c r="P873" s="200"/>
      <c r="Q873" s="200"/>
      <c r="R873" s="200"/>
      <c r="S873" s="200"/>
      <c r="T873" s="200"/>
    </row>
    <row r="874" ht="13.5" customHeight="1">
      <c r="A874" s="200"/>
      <c r="B874" s="200"/>
      <c r="C874" s="200"/>
      <c r="D874" s="200"/>
      <c r="E874" s="200"/>
      <c r="F874" s="200"/>
      <c r="G874" s="200"/>
      <c r="H874" s="200"/>
      <c r="I874" s="200"/>
      <c r="J874" s="200"/>
      <c r="K874" s="200"/>
      <c r="L874" s="200"/>
      <c r="M874" s="200"/>
      <c r="N874" s="200"/>
      <c r="O874" s="200"/>
      <c r="P874" s="200"/>
      <c r="Q874" s="200"/>
      <c r="R874" s="200"/>
      <c r="S874" s="200"/>
      <c r="T874" s="200"/>
    </row>
    <row r="875" ht="13.5" customHeight="1">
      <c r="A875" s="200"/>
      <c r="B875" s="200"/>
      <c r="C875" s="200"/>
      <c r="D875" s="200"/>
      <c r="E875" s="200"/>
      <c r="F875" s="200"/>
      <c r="G875" s="200"/>
      <c r="H875" s="200"/>
      <c r="I875" s="200"/>
      <c r="J875" s="200"/>
      <c r="K875" s="200"/>
      <c r="L875" s="200"/>
      <c r="M875" s="200"/>
      <c r="N875" s="200"/>
      <c r="O875" s="200"/>
      <c r="P875" s="200"/>
      <c r="Q875" s="200"/>
      <c r="R875" s="200"/>
      <c r="S875" s="200"/>
      <c r="T875" s="200"/>
    </row>
    <row r="876" ht="13.5" customHeight="1">
      <c r="A876" s="200"/>
      <c r="B876" s="200"/>
      <c r="C876" s="200"/>
      <c r="D876" s="200"/>
      <c r="E876" s="200"/>
      <c r="F876" s="200"/>
      <c r="G876" s="200"/>
      <c r="H876" s="200"/>
      <c r="I876" s="200"/>
      <c r="J876" s="200"/>
      <c r="K876" s="200"/>
      <c r="L876" s="200"/>
      <c r="M876" s="200"/>
      <c r="N876" s="200"/>
      <c r="O876" s="200"/>
      <c r="P876" s="200"/>
      <c r="Q876" s="200"/>
      <c r="R876" s="200"/>
      <c r="S876" s="200"/>
      <c r="T876" s="200"/>
    </row>
    <row r="877" ht="13.5" customHeight="1">
      <c r="A877" s="200"/>
      <c r="B877" s="200"/>
      <c r="C877" s="200"/>
      <c r="D877" s="200"/>
      <c r="E877" s="200"/>
      <c r="F877" s="200"/>
      <c r="G877" s="200"/>
      <c r="H877" s="200"/>
      <c r="I877" s="200"/>
      <c r="J877" s="200"/>
      <c r="K877" s="200"/>
      <c r="L877" s="200"/>
      <c r="M877" s="200"/>
      <c r="N877" s="200"/>
      <c r="O877" s="200"/>
      <c r="P877" s="200"/>
      <c r="Q877" s="200"/>
      <c r="R877" s="200"/>
      <c r="S877" s="200"/>
      <c r="T877" s="200"/>
    </row>
    <row r="878" ht="13.5" customHeight="1">
      <c r="A878" s="200"/>
      <c r="B878" s="200"/>
      <c r="C878" s="200"/>
      <c r="D878" s="200"/>
      <c r="E878" s="200"/>
      <c r="F878" s="200"/>
      <c r="G878" s="200"/>
      <c r="H878" s="200"/>
      <c r="I878" s="200"/>
      <c r="J878" s="200"/>
      <c r="K878" s="200"/>
      <c r="L878" s="200"/>
      <c r="M878" s="200"/>
      <c r="N878" s="200"/>
      <c r="O878" s="200"/>
      <c r="P878" s="200"/>
      <c r="Q878" s="200"/>
      <c r="R878" s="200"/>
      <c r="S878" s="200"/>
      <c r="T878" s="200"/>
    </row>
    <row r="879" ht="13.5" customHeight="1">
      <c r="A879" s="200"/>
      <c r="B879" s="200"/>
      <c r="C879" s="200"/>
      <c r="D879" s="200"/>
      <c r="E879" s="200"/>
      <c r="F879" s="200"/>
      <c r="G879" s="200"/>
      <c r="H879" s="200"/>
      <c r="I879" s="200"/>
      <c r="J879" s="200"/>
      <c r="K879" s="200"/>
      <c r="L879" s="200"/>
      <c r="M879" s="200"/>
      <c r="N879" s="200"/>
      <c r="O879" s="200"/>
      <c r="P879" s="200"/>
      <c r="Q879" s="200"/>
      <c r="R879" s="200"/>
      <c r="S879" s="200"/>
      <c r="T879" s="200"/>
    </row>
    <row r="880" ht="13.5" customHeight="1">
      <c r="A880" s="200"/>
      <c r="B880" s="200"/>
      <c r="C880" s="200"/>
      <c r="D880" s="200"/>
      <c r="E880" s="200"/>
      <c r="F880" s="200"/>
      <c r="G880" s="200"/>
      <c r="H880" s="200"/>
      <c r="I880" s="200"/>
      <c r="J880" s="200"/>
      <c r="K880" s="200"/>
      <c r="L880" s="200"/>
      <c r="M880" s="200"/>
      <c r="N880" s="200"/>
      <c r="O880" s="200"/>
      <c r="P880" s="200"/>
      <c r="Q880" s="200"/>
      <c r="R880" s="200"/>
      <c r="S880" s="200"/>
      <c r="T880" s="200"/>
    </row>
    <row r="881" ht="13.5" customHeight="1">
      <c r="A881" s="200"/>
      <c r="B881" s="200"/>
      <c r="C881" s="200"/>
      <c r="D881" s="200"/>
      <c r="E881" s="200"/>
      <c r="F881" s="200"/>
      <c r="G881" s="200"/>
      <c r="H881" s="200"/>
      <c r="I881" s="200"/>
      <c r="J881" s="200"/>
      <c r="K881" s="200"/>
      <c r="L881" s="200"/>
      <c r="M881" s="200"/>
      <c r="N881" s="200"/>
      <c r="O881" s="200"/>
      <c r="P881" s="200"/>
      <c r="Q881" s="200"/>
      <c r="R881" s="200"/>
      <c r="S881" s="200"/>
      <c r="T881" s="200"/>
    </row>
    <row r="882" ht="13.5" customHeight="1">
      <c r="A882" s="200"/>
      <c r="B882" s="200"/>
      <c r="C882" s="200"/>
      <c r="D882" s="200"/>
      <c r="E882" s="200"/>
      <c r="F882" s="200"/>
      <c r="G882" s="200"/>
      <c r="H882" s="200"/>
      <c r="I882" s="200"/>
      <c r="J882" s="200"/>
      <c r="K882" s="200"/>
      <c r="L882" s="200"/>
      <c r="M882" s="200"/>
      <c r="N882" s="200"/>
      <c r="O882" s="200"/>
      <c r="P882" s="200"/>
      <c r="Q882" s="200"/>
      <c r="R882" s="200"/>
      <c r="S882" s="200"/>
      <c r="T882" s="200"/>
    </row>
    <row r="883" ht="13.5" customHeight="1">
      <c r="A883" s="200"/>
      <c r="B883" s="200"/>
      <c r="C883" s="200"/>
      <c r="D883" s="200"/>
      <c r="E883" s="200"/>
      <c r="F883" s="200"/>
      <c r="G883" s="200"/>
      <c r="H883" s="200"/>
      <c r="I883" s="200"/>
      <c r="J883" s="200"/>
      <c r="K883" s="200"/>
      <c r="L883" s="200"/>
      <c r="M883" s="200"/>
      <c r="N883" s="200"/>
      <c r="O883" s="200"/>
      <c r="P883" s="200"/>
      <c r="Q883" s="200"/>
      <c r="R883" s="200"/>
      <c r="S883" s="200"/>
      <c r="T883" s="200"/>
    </row>
    <row r="884" ht="13.5" customHeight="1">
      <c r="A884" s="200"/>
      <c r="B884" s="200"/>
      <c r="C884" s="200"/>
      <c r="D884" s="200"/>
      <c r="E884" s="200"/>
      <c r="F884" s="200"/>
      <c r="G884" s="200"/>
      <c r="H884" s="200"/>
      <c r="I884" s="200"/>
      <c r="J884" s="200"/>
      <c r="K884" s="200"/>
      <c r="L884" s="200"/>
      <c r="M884" s="200"/>
      <c r="N884" s="200"/>
      <c r="O884" s="200"/>
      <c r="P884" s="200"/>
      <c r="Q884" s="200"/>
      <c r="R884" s="200"/>
      <c r="S884" s="200"/>
      <c r="T884" s="200"/>
    </row>
    <row r="885" ht="13.5" customHeight="1">
      <c r="A885" s="200"/>
      <c r="B885" s="200"/>
      <c r="C885" s="200"/>
      <c r="D885" s="200"/>
      <c r="E885" s="200"/>
      <c r="F885" s="200"/>
      <c r="G885" s="200"/>
      <c r="H885" s="200"/>
      <c r="I885" s="200"/>
      <c r="J885" s="200"/>
      <c r="K885" s="200"/>
      <c r="L885" s="200"/>
      <c r="M885" s="200"/>
      <c r="N885" s="200"/>
      <c r="O885" s="200"/>
      <c r="P885" s="200"/>
      <c r="Q885" s="200"/>
      <c r="R885" s="200"/>
      <c r="S885" s="200"/>
      <c r="T885" s="200"/>
    </row>
    <row r="886" ht="13.5" customHeight="1">
      <c r="A886" s="200"/>
      <c r="B886" s="200"/>
      <c r="C886" s="200"/>
      <c r="D886" s="200"/>
      <c r="E886" s="200"/>
      <c r="F886" s="200"/>
      <c r="G886" s="200"/>
      <c r="H886" s="200"/>
      <c r="I886" s="200"/>
      <c r="J886" s="200"/>
      <c r="K886" s="200"/>
      <c r="L886" s="200"/>
      <c r="M886" s="200"/>
      <c r="N886" s="200"/>
      <c r="O886" s="200"/>
      <c r="P886" s="200"/>
      <c r="Q886" s="200"/>
      <c r="R886" s="200"/>
      <c r="S886" s="200"/>
      <c r="T886" s="200"/>
    </row>
    <row r="887" ht="13.5" customHeight="1">
      <c r="A887" s="200"/>
      <c r="B887" s="200"/>
      <c r="C887" s="200"/>
      <c r="D887" s="200"/>
      <c r="E887" s="200"/>
      <c r="F887" s="200"/>
      <c r="G887" s="200"/>
      <c r="H887" s="200"/>
      <c r="I887" s="200"/>
      <c r="J887" s="200"/>
      <c r="K887" s="200"/>
      <c r="L887" s="200"/>
      <c r="M887" s="200"/>
      <c r="N887" s="200"/>
      <c r="O887" s="200"/>
      <c r="P887" s="200"/>
      <c r="Q887" s="200"/>
      <c r="R887" s="200"/>
      <c r="S887" s="200"/>
      <c r="T887" s="200"/>
    </row>
    <row r="888" ht="13.5" customHeight="1">
      <c r="A888" s="200"/>
      <c r="B888" s="200"/>
      <c r="C888" s="200"/>
      <c r="D888" s="200"/>
      <c r="E888" s="200"/>
      <c r="F888" s="200"/>
      <c r="G888" s="200"/>
      <c r="H888" s="200"/>
      <c r="I888" s="200"/>
      <c r="J888" s="200"/>
      <c r="K888" s="200"/>
      <c r="L888" s="200"/>
      <c r="M888" s="200"/>
      <c r="N888" s="200"/>
      <c r="O888" s="200"/>
      <c r="P888" s="200"/>
      <c r="Q888" s="200"/>
      <c r="R888" s="200"/>
      <c r="S888" s="200"/>
      <c r="T888" s="200"/>
    </row>
    <row r="889" ht="13.5" customHeight="1">
      <c r="A889" s="200"/>
      <c r="B889" s="200"/>
      <c r="C889" s="200"/>
      <c r="D889" s="200"/>
      <c r="E889" s="200"/>
      <c r="F889" s="200"/>
      <c r="G889" s="200"/>
      <c r="H889" s="200"/>
      <c r="I889" s="200"/>
      <c r="J889" s="200"/>
      <c r="K889" s="200"/>
      <c r="L889" s="200"/>
      <c r="M889" s="200"/>
      <c r="N889" s="200"/>
      <c r="O889" s="200"/>
      <c r="P889" s="200"/>
      <c r="Q889" s="200"/>
      <c r="R889" s="200"/>
      <c r="S889" s="200"/>
      <c r="T889" s="200"/>
    </row>
    <row r="890" ht="13.5" customHeight="1">
      <c r="A890" s="200"/>
      <c r="B890" s="200"/>
      <c r="C890" s="200"/>
      <c r="D890" s="200"/>
      <c r="E890" s="200"/>
      <c r="F890" s="200"/>
      <c r="G890" s="200"/>
      <c r="H890" s="200"/>
      <c r="I890" s="200"/>
      <c r="J890" s="200"/>
      <c r="K890" s="200"/>
      <c r="L890" s="200"/>
      <c r="M890" s="200"/>
      <c r="N890" s="200"/>
      <c r="O890" s="200"/>
      <c r="P890" s="200"/>
      <c r="Q890" s="200"/>
      <c r="R890" s="200"/>
      <c r="S890" s="200"/>
      <c r="T890" s="200"/>
    </row>
    <row r="891" ht="13.5" customHeight="1">
      <c r="A891" s="200"/>
      <c r="B891" s="200"/>
      <c r="C891" s="200"/>
      <c r="D891" s="200"/>
      <c r="E891" s="200"/>
      <c r="F891" s="200"/>
      <c r="G891" s="200"/>
      <c r="H891" s="200"/>
      <c r="I891" s="200"/>
      <c r="J891" s="200"/>
      <c r="K891" s="200"/>
      <c r="L891" s="200"/>
      <c r="M891" s="200"/>
      <c r="N891" s="200"/>
      <c r="O891" s="200"/>
      <c r="P891" s="200"/>
      <c r="Q891" s="200"/>
      <c r="R891" s="200"/>
      <c r="S891" s="200"/>
      <c r="T891" s="200"/>
    </row>
    <row r="892" ht="13.5" customHeight="1">
      <c r="A892" s="200"/>
      <c r="B892" s="200"/>
      <c r="C892" s="200"/>
      <c r="D892" s="200"/>
      <c r="E892" s="200"/>
      <c r="F892" s="200"/>
      <c r="G892" s="200"/>
      <c r="H892" s="200"/>
      <c r="I892" s="200"/>
      <c r="J892" s="200"/>
      <c r="K892" s="200"/>
      <c r="L892" s="200"/>
      <c r="M892" s="200"/>
      <c r="N892" s="200"/>
      <c r="O892" s="200"/>
      <c r="P892" s="200"/>
      <c r="Q892" s="200"/>
      <c r="R892" s="200"/>
      <c r="S892" s="200"/>
      <c r="T892" s="200"/>
    </row>
    <row r="893" ht="13.5" customHeight="1">
      <c r="A893" s="200"/>
      <c r="B893" s="200"/>
      <c r="C893" s="200"/>
      <c r="D893" s="200"/>
      <c r="E893" s="200"/>
      <c r="F893" s="200"/>
      <c r="G893" s="200"/>
      <c r="H893" s="200"/>
      <c r="I893" s="200"/>
      <c r="J893" s="200"/>
      <c r="K893" s="200"/>
      <c r="L893" s="200"/>
      <c r="M893" s="200"/>
      <c r="N893" s="200"/>
      <c r="O893" s="200"/>
      <c r="P893" s="200"/>
      <c r="Q893" s="200"/>
      <c r="R893" s="200"/>
      <c r="S893" s="200"/>
      <c r="T893" s="200"/>
    </row>
    <row r="894" ht="13.5" customHeight="1">
      <c r="A894" s="200"/>
      <c r="B894" s="200"/>
      <c r="C894" s="200"/>
      <c r="D894" s="200"/>
      <c r="E894" s="200"/>
      <c r="F894" s="200"/>
      <c r="G894" s="200"/>
      <c r="H894" s="200"/>
      <c r="I894" s="200"/>
      <c r="J894" s="200"/>
      <c r="K894" s="200"/>
      <c r="L894" s="200"/>
      <c r="M894" s="200"/>
      <c r="N894" s="200"/>
      <c r="O894" s="200"/>
      <c r="P894" s="200"/>
      <c r="Q894" s="200"/>
      <c r="R894" s="200"/>
      <c r="S894" s="200"/>
      <c r="T894" s="200"/>
    </row>
    <row r="895" ht="13.5" customHeight="1">
      <c r="A895" s="200"/>
      <c r="B895" s="200"/>
      <c r="C895" s="200"/>
      <c r="D895" s="200"/>
      <c r="E895" s="200"/>
      <c r="F895" s="200"/>
      <c r="G895" s="200"/>
      <c r="H895" s="200"/>
      <c r="I895" s="200"/>
      <c r="J895" s="200"/>
      <c r="K895" s="200"/>
      <c r="L895" s="200"/>
      <c r="M895" s="200"/>
      <c r="N895" s="200"/>
      <c r="O895" s="200"/>
      <c r="P895" s="200"/>
      <c r="Q895" s="200"/>
      <c r="R895" s="200"/>
      <c r="S895" s="200"/>
      <c r="T895" s="200"/>
    </row>
    <row r="896" ht="13.5" customHeight="1">
      <c r="A896" s="200"/>
      <c r="B896" s="200"/>
      <c r="C896" s="200"/>
      <c r="D896" s="200"/>
      <c r="E896" s="200"/>
      <c r="F896" s="200"/>
      <c r="G896" s="200"/>
      <c r="H896" s="200"/>
      <c r="I896" s="200"/>
      <c r="J896" s="200"/>
      <c r="K896" s="200"/>
      <c r="L896" s="200"/>
      <c r="M896" s="200"/>
      <c r="N896" s="200"/>
      <c r="O896" s="200"/>
      <c r="P896" s="200"/>
      <c r="Q896" s="200"/>
      <c r="R896" s="200"/>
      <c r="S896" s="200"/>
      <c r="T896" s="200"/>
    </row>
    <row r="897" ht="13.5" customHeight="1">
      <c r="A897" s="200"/>
      <c r="B897" s="200"/>
      <c r="C897" s="200"/>
      <c r="D897" s="200"/>
      <c r="E897" s="200"/>
      <c r="F897" s="200"/>
      <c r="G897" s="200"/>
      <c r="H897" s="200"/>
      <c r="I897" s="200"/>
      <c r="J897" s="200"/>
      <c r="K897" s="200"/>
      <c r="L897" s="200"/>
      <c r="M897" s="200"/>
      <c r="N897" s="200"/>
      <c r="O897" s="200"/>
      <c r="P897" s="200"/>
      <c r="Q897" s="200"/>
      <c r="R897" s="200"/>
      <c r="S897" s="200"/>
      <c r="T897" s="200"/>
    </row>
    <row r="898" ht="13.5" customHeight="1">
      <c r="A898" s="200"/>
      <c r="B898" s="200"/>
      <c r="C898" s="200"/>
      <c r="D898" s="200"/>
      <c r="E898" s="200"/>
      <c r="F898" s="200"/>
      <c r="G898" s="200"/>
      <c r="H898" s="200"/>
      <c r="I898" s="200"/>
      <c r="J898" s="200"/>
      <c r="K898" s="200"/>
      <c r="L898" s="200"/>
      <c r="M898" s="200"/>
      <c r="N898" s="200"/>
      <c r="O898" s="200"/>
      <c r="P898" s="200"/>
      <c r="Q898" s="200"/>
      <c r="R898" s="200"/>
      <c r="S898" s="200"/>
      <c r="T898" s="200"/>
    </row>
    <row r="899" ht="13.5" customHeight="1">
      <c r="A899" s="200"/>
      <c r="B899" s="200"/>
      <c r="C899" s="200"/>
      <c r="D899" s="200"/>
      <c r="E899" s="200"/>
      <c r="F899" s="200"/>
      <c r="G899" s="200"/>
      <c r="H899" s="200"/>
      <c r="I899" s="200"/>
      <c r="J899" s="200"/>
      <c r="K899" s="200"/>
      <c r="L899" s="200"/>
      <c r="M899" s="200"/>
      <c r="N899" s="200"/>
      <c r="O899" s="200"/>
      <c r="P899" s="200"/>
      <c r="Q899" s="200"/>
      <c r="R899" s="200"/>
      <c r="S899" s="200"/>
      <c r="T899" s="200"/>
    </row>
    <row r="900" ht="13.5" customHeight="1">
      <c r="A900" s="200"/>
      <c r="B900" s="200"/>
      <c r="C900" s="200"/>
      <c r="D900" s="200"/>
      <c r="E900" s="200"/>
      <c r="F900" s="200"/>
      <c r="G900" s="200"/>
      <c r="H900" s="200"/>
      <c r="I900" s="200"/>
      <c r="J900" s="200"/>
      <c r="K900" s="200"/>
      <c r="L900" s="200"/>
      <c r="M900" s="200"/>
      <c r="N900" s="200"/>
      <c r="O900" s="200"/>
      <c r="P900" s="200"/>
      <c r="Q900" s="200"/>
      <c r="R900" s="200"/>
      <c r="S900" s="200"/>
      <c r="T900" s="200"/>
    </row>
    <row r="901" ht="13.5" customHeight="1">
      <c r="A901" s="200"/>
      <c r="B901" s="200"/>
      <c r="C901" s="200"/>
      <c r="D901" s="200"/>
      <c r="E901" s="200"/>
      <c r="F901" s="200"/>
      <c r="G901" s="200"/>
      <c r="H901" s="200"/>
      <c r="I901" s="200"/>
      <c r="J901" s="200"/>
      <c r="K901" s="200"/>
      <c r="L901" s="200"/>
      <c r="M901" s="200"/>
      <c r="N901" s="200"/>
      <c r="O901" s="200"/>
      <c r="P901" s="200"/>
      <c r="Q901" s="200"/>
      <c r="R901" s="200"/>
      <c r="S901" s="200"/>
      <c r="T901" s="200"/>
    </row>
    <row r="902" ht="13.5" customHeight="1">
      <c r="A902" s="200"/>
      <c r="B902" s="200"/>
      <c r="C902" s="200"/>
      <c r="D902" s="200"/>
      <c r="E902" s="200"/>
      <c r="F902" s="200"/>
      <c r="G902" s="200"/>
      <c r="H902" s="200"/>
      <c r="I902" s="200"/>
      <c r="J902" s="200"/>
      <c r="K902" s="200"/>
      <c r="L902" s="200"/>
      <c r="M902" s="200"/>
      <c r="N902" s="200"/>
      <c r="O902" s="200"/>
      <c r="P902" s="200"/>
      <c r="Q902" s="200"/>
      <c r="R902" s="200"/>
      <c r="S902" s="200"/>
      <c r="T902" s="200"/>
    </row>
    <row r="903" ht="13.5" customHeight="1">
      <c r="A903" s="200"/>
      <c r="B903" s="200"/>
      <c r="C903" s="200"/>
      <c r="D903" s="200"/>
      <c r="E903" s="200"/>
      <c r="F903" s="200"/>
      <c r="G903" s="200"/>
      <c r="H903" s="200"/>
      <c r="I903" s="200"/>
      <c r="J903" s="200"/>
      <c r="K903" s="200"/>
      <c r="L903" s="200"/>
      <c r="M903" s="200"/>
      <c r="N903" s="200"/>
      <c r="O903" s="200"/>
      <c r="P903" s="200"/>
      <c r="Q903" s="200"/>
      <c r="R903" s="200"/>
      <c r="S903" s="200"/>
      <c r="T903" s="200"/>
    </row>
    <row r="904" ht="13.5" customHeight="1">
      <c r="A904" s="200"/>
      <c r="B904" s="200"/>
      <c r="C904" s="200"/>
      <c r="D904" s="200"/>
      <c r="E904" s="200"/>
      <c r="F904" s="200"/>
      <c r="G904" s="200"/>
      <c r="H904" s="200"/>
      <c r="I904" s="200"/>
      <c r="J904" s="200"/>
      <c r="K904" s="200"/>
      <c r="L904" s="200"/>
      <c r="M904" s="200"/>
      <c r="N904" s="200"/>
      <c r="O904" s="200"/>
      <c r="P904" s="200"/>
      <c r="Q904" s="200"/>
      <c r="R904" s="200"/>
      <c r="S904" s="200"/>
      <c r="T904" s="200"/>
    </row>
    <row r="905" ht="13.5" customHeight="1">
      <c r="A905" s="200"/>
      <c r="B905" s="200"/>
      <c r="C905" s="200"/>
      <c r="D905" s="200"/>
      <c r="E905" s="200"/>
      <c r="F905" s="200"/>
      <c r="G905" s="200"/>
      <c r="H905" s="200"/>
      <c r="I905" s="200"/>
      <c r="J905" s="200"/>
      <c r="K905" s="200"/>
      <c r="L905" s="200"/>
      <c r="M905" s="200"/>
      <c r="N905" s="200"/>
      <c r="O905" s="200"/>
      <c r="P905" s="200"/>
      <c r="Q905" s="200"/>
      <c r="R905" s="200"/>
      <c r="S905" s="200"/>
      <c r="T905" s="200"/>
    </row>
    <row r="906" ht="13.5" customHeight="1">
      <c r="A906" s="200"/>
      <c r="B906" s="200"/>
      <c r="C906" s="200"/>
      <c r="D906" s="200"/>
      <c r="E906" s="200"/>
      <c r="F906" s="200"/>
      <c r="G906" s="200"/>
      <c r="H906" s="200"/>
      <c r="I906" s="200"/>
      <c r="J906" s="200"/>
      <c r="K906" s="200"/>
      <c r="L906" s="200"/>
      <c r="M906" s="200"/>
      <c r="N906" s="200"/>
      <c r="O906" s="200"/>
      <c r="P906" s="200"/>
      <c r="Q906" s="200"/>
      <c r="R906" s="200"/>
      <c r="S906" s="200"/>
      <c r="T906" s="200"/>
    </row>
    <row r="907" ht="13.5" customHeight="1">
      <c r="A907" s="200"/>
      <c r="B907" s="200"/>
      <c r="C907" s="200"/>
      <c r="D907" s="200"/>
      <c r="E907" s="200"/>
      <c r="F907" s="200"/>
      <c r="G907" s="200"/>
      <c r="H907" s="200"/>
      <c r="I907" s="200"/>
      <c r="J907" s="200"/>
      <c r="K907" s="200"/>
      <c r="L907" s="200"/>
      <c r="M907" s="200"/>
      <c r="N907" s="200"/>
      <c r="O907" s="200"/>
      <c r="P907" s="200"/>
      <c r="Q907" s="200"/>
      <c r="R907" s="200"/>
      <c r="S907" s="200"/>
      <c r="T907" s="200"/>
    </row>
    <row r="908" ht="13.5" customHeight="1">
      <c r="A908" s="200"/>
      <c r="B908" s="200"/>
      <c r="C908" s="200"/>
      <c r="D908" s="200"/>
      <c r="E908" s="200"/>
      <c r="F908" s="200"/>
      <c r="G908" s="200"/>
      <c r="H908" s="200"/>
      <c r="I908" s="200"/>
      <c r="J908" s="200"/>
      <c r="K908" s="200"/>
      <c r="L908" s="200"/>
      <c r="M908" s="200"/>
      <c r="N908" s="200"/>
      <c r="O908" s="200"/>
      <c r="P908" s="200"/>
      <c r="Q908" s="200"/>
      <c r="R908" s="200"/>
      <c r="S908" s="200"/>
      <c r="T908" s="200"/>
    </row>
    <row r="909" ht="13.5" customHeight="1">
      <c r="A909" s="200"/>
      <c r="B909" s="200"/>
      <c r="C909" s="200"/>
      <c r="D909" s="200"/>
      <c r="E909" s="200"/>
      <c r="F909" s="200"/>
      <c r="G909" s="200"/>
      <c r="H909" s="200"/>
      <c r="I909" s="200"/>
      <c r="J909" s="200"/>
      <c r="K909" s="200"/>
      <c r="L909" s="200"/>
      <c r="M909" s="200"/>
      <c r="N909" s="200"/>
      <c r="O909" s="200"/>
      <c r="P909" s="200"/>
      <c r="Q909" s="200"/>
      <c r="R909" s="200"/>
      <c r="S909" s="200"/>
      <c r="T909" s="200"/>
    </row>
    <row r="910" ht="13.5" customHeight="1">
      <c r="A910" s="200"/>
      <c r="B910" s="200"/>
      <c r="C910" s="200"/>
      <c r="D910" s="200"/>
      <c r="E910" s="200"/>
      <c r="F910" s="200"/>
      <c r="G910" s="200"/>
      <c r="H910" s="200"/>
      <c r="I910" s="200"/>
      <c r="J910" s="200"/>
      <c r="K910" s="200"/>
      <c r="L910" s="200"/>
      <c r="M910" s="200"/>
      <c r="N910" s="200"/>
      <c r="O910" s="200"/>
      <c r="P910" s="200"/>
      <c r="Q910" s="200"/>
      <c r="R910" s="200"/>
      <c r="S910" s="200"/>
      <c r="T910" s="200"/>
    </row>
    <row r="911" ht="13.5" customHeight="1">
      <c r="A911" s="200"/>
      <c r="B911" s="200"/>
      <c r="C911" s="200"/>
      <c r="D911" s="200"/>
      <c r="E911" s="200"/>
      <c r="F911" s="200"/>
      <c r="G911" s="200"/>
      <c r="H911" s="200"/>
      <c r="I911" s="200"/>
      <c r="J911" s="200"/>
      <c r="K911" s="200"/>
      <c r="L911" s="200"/>
      <c r="M911" s="200"/>
      <c r="N911" s="200"/>
      <c r="O911" s="200"/>
      <c r="P911" s="200"/>
      <c r="Q911" s="200"/>
      <c r="R911" s="200"/>
      <c r="S911" s="200"/>
      <c r="T911" s="200"/>
    </row>
    <row r="912" ht="13.5" customHeight="1">
      <c r="A912" s="200"/>
      <c r="B912" s="200"/>
      <c r="C912" s="200"/>
      <c r="D912" s="200"/>
      <c r="E912" s="200"/>
      <c r="F912" s="200"/>
      <c r="G912" s="200"/>
      <c r="H912" s="200"/>
      <c r="I912" s="200"/>
      <c r="J912" s="200"/>
      <c r="K912" s="200"/>
      <c r="L912" s="200"/>
      <c r="M912" s="200"/>
      <c r="N912" s="200"/>
      <c r="O912" s="200"/>
      <c r="P912" s="200"/>
      <c r="Q912" s="200"/>
      <c r="R912" s="200"/>
      <c r="S912" s="200"/>
      <c r="T912" s="200"/>
    </row>
    <row r="913" ht="13.5" customHeight="1">
      <c r="A913" s="200"/>
      <c r="B913" s="200"/>
      <c r="C913" s="200"/>
      <c r="D913" s="200"/>
      <c r="E913" s="200"/>
      <c r="F913" s="200"/>
      <c r="G913" s="200"/>
      <c r="H913" s="200"/>
      <c r="I913" s="200"/>
      <c r="J913" s="200"/>
      <c r="K913" s="200"/>
      <c r="L913" s="200"/>
      <c r="M913" s="200"/>
      <c r="N913" s="200"/>
      <c r="O913" s="200"/>
      <c r="P913" s="200"/>
      <c r="Q913" s="200"/>
      <c r="R913" s="200"/>
      <c r="S913" s="200"/>
      <c r="T913" s="200"/>
    </row>
    <row r="914" ht="13.5" customHeight="1">
      <c r="A914" s="200"/>
      <c r="B914" s="200"/>
      <c r="C914" s="200"/>
      <c r="D914" s="200"/>
      <c r="E914" s="200"/>
      <c r="F914" s="200"/>
      <c r="G914" s="200"/>
      <c r="H914" s="200"/>
      <c r="I914" s="200"/>
      <c r="J914" s="200"/>
      <c r="K914" s="200"/>
      <c r="L914" s="200"/>
      <c r="M914" s="200"/>
      <c r="N914" s="200"/>
      <c r="O914" s="200"/>
      <c r="P914" s="200"/>
      <c r="Q914" s="200"/>
      <c r="R914" s="200"/>
      <c r="S914" s="200"/>
      <c r="T914" s="200"/>
    </row>
    <row r="915" ht="13.5" customHeight="1">
      <c r="A915" s="200"/>
      <c r="B915" s="200"/>
      <c r="C915" s="200"/>
      <c r="D915" s="200"/>
      <c r="E915" s="200"/>
      <c r="F915" s="200"/>
      <c r="G915" s="200"/>
      <c r="H915" s="200"/>
      <c r="I915" s="200"/>
      <c r="J915" s="200"/>
      <c r="K915" s="200"/>
      <c r="L915" s="200"/>
      <c r="M915" s="200"/>
      <c r="N915" s="200"/>
      <c r="O915" s="200"/>
      <c r="P915" s="200"/>
      <c r="Q915" s="200"/>
      <c r="R915" s="200"/>
      <c r="S915" s="200"/>
      <c r="T915" s="200"/>
    </row>
    <row r="916" ht="13.5" customHeight="1">
      <c r="A916" s="200"/>
      <c r="B916" s="200"/>
      <c r="C916" s="200"/>
      <c r="D916" s="200"/>
      <c r="E916" s="200"/>
      <c r="F916" s="200"/>
      <c r="G916" s="200"/>
      <c r="H916" s="200"/>
      <c r="I916" s="200"/>
      <c r="J916" s="200"/>
      <c r="K916" s="200"/>
      <c r="L916" s="200"/>
      <c r="M916" s="200"/>
      <c r="N916" s="200"/>
      <c r="O916" s="200"/>
      <c r="P916" s="200"/>
      <c r="Q916" s="200"/>
      <c r="R916" s="200"/>
      <c r="S916" s="200"/>
      <c r="T916" s="200"/>
    </row>
    <row r="917" ht="13.5" customHeight="1">
      <c r="A917" s="200"/>
      <c r="B917" s="200"/>
      <c r="C917" s="200"/>
      <c r="D917" s="200"/>
      <c r="E917" s="200"/>
      <c r="F917" s="200"/>
      <c r="G917" s="200"/>
      <c r="H917" s="200"/>
      <c r="I917" s="200"/>
      <c r="J917" s="200"/>
      <c r="K917" s="200"/>
      <c r="L917" s="200"/>
      <c r="M917" s="200"/>
      <c r="N917" s="200"/>
      <c r="O917" s="200"/>
      <c r="P917" s="200"/>
      <c r="Q917" s="200"/>
      <c r="R917" s="200"/>
      <c r="S917" s="200"/>
      <c r="T917" s="200"/>
    </row>
    <row r="918" ht="13.5" customHeight="1">
      <c r="A918" s="200"/>
      <c r="B918" s="200"/>
      <c r="C918" s="200"/>
      <c r="D918" s="200"/>
      <c r="E918" s="200"/>
      <c r="F918" s="200"/>
      <c r="G918" s="200"/>
      <c r="H918" s="200"/>
      <c r="I918" s="200"/>
      <c r="J918" s="200"/>
      <c r="K918" s="200"/>
      <c r="L918" s="200"/>
      <c r="M918" s="200"/>
      <c r="N918" s="200"/>
      <c r="O918" s="200"/>
      <c r="P918" s="200"/>
      <c r="Q918" s="200"/>
      <c r="R918" s="200"/>
      <c r="S918" s="200"/>
      <c r="T918" s="200"/>
    </row>
    <row r="919" ht="13.5" customHeight="1">
      <c r="A919" s="200"/>
      <c r="B919" s="200"/>
      <c r="C919" s="200"/>
      <c r="D919" s="200"/>
      <c r="E919" s="200"/>
      <c r="F919" s="200"/>
      <c r="G919" s="200"/>
      <c r="H919" s="200"/>
      <c r="I919" s="200"/>
      <c r="J919" s="200"/>
      <c r="K919" s="200"/>
      <c r="L919" s="200"/>
      <c r="M919" s="200"/>
      <c r="N919" s="200"/>
      <c r="O919" s="200"/>
      <c r="P919" s="200"/>
      <c r="Q919" s="200"/>
      <c r="R919" s="200"/>
      <c r="S919" s="200"/>
      <c r="T919" s="200"/>
    </row>
    <row r="920" ht="13.5" customHeight="1">
      <c r="A920" s="200"/>
      <c r="B920" s="200"/>
      <c r="C920" s="200"/>
      <c r="D920" s="200"/>
      <c r="E920" s="200"/>
      <c r="F920" s="200"/>
      <c r="G920" s="200"/>
      <c r="H920" s="200"/>
      <c r="I920" s="200"/>
      <c r="J920" s="200"/>
      <c r="K920" s="200"/>
      <c r="L920" s="200"/>
      <c r="M920" s="200"/>
      <c r="N920" s="200"/>
      <c r="O920" s="200"/>
      <c r="P920" s="200"/>
      <c r="Q920" s="200"/>
      <c r="R920" s="200"/>
      <c r="S920" s="200"/>
      <c r="T920" s="200"/>
    </row>
    <row r="921" ht="13.5" customHeight="1">
      <c r="A921" s="200"/>
      <c r="B921" s="200"/>
      <c r="C921" s="200"/>
      <c r="D921" s="200"/>
      <c r="E921" s="200"/>
      <c r="F921" s="200"/>
      <c r="G921" s="200"/>
      <c r="H921" s="200"/>
      <c r="I921" s="200"/>
      <c r="J921" s="200"/>
      <c r="K921" s="200"/>
      <c r="L921" s="200"/>
      <c r="M921" s="200"/>
      <c r="N921" s="200"/>
      <c r="O921" s="200"/>
      <c r="P921" s="200"/>
      <c r="Q921" s="200"/>
      <c r="R921" s="200"/>
      <c r="S921" s="200"/>
      <c r="T921" s="200"/>
    </row>
    <row r="922" ht="13.5" customHeight="1">
      <c r="A922" s="200"/>
      <c r="B922" s="200"/>
      <c r="C922" s="200"/>
      <c r="D922" s="200"/>
      <c r="E922" s="200"/>
      <c r="F922" s="200"/>
      <c r="G922" s="200"/>
      <c r="H922" s="200"/>
      <c r="I922" s="200"/>
      <c r="J922" s="200"/>
      <c r="K922" s="200"/>
      <c r="L922" s="200"/>
      <c r="M922" s="200"/>
      <c r="N922" s="200"/>
      <c r="O922" s="200"/>
      <c r="P922" s="200"/>
      <c r="Q922" s="200"/>
      <c r="R922" s="200"/>
      <c r="S922" s="200"/>
      <c r="T922" s="200"/>
    </row>
    <row r="923" ht="13.5" customHeight="1">
      <c r="A923" s="200"/>
      <c r="B923" s="200"/>
      <c r="C923" s="200"/>
      <c r="D923" s="200"/>
      <c r="E923" s="200"/>
      <c r="F923" s="200"/>
      <c r="G923" s="200"/>
      <c r="H923" s="200"/>
      <c r="I923" s="200"/>
      <c r="J923" s="200"/>
      <c r="K923" s="200"/>
      <c r="L923" s="200"/>
      <c r="M923" s="200"/>
      <c r="N923" s="200"/>
      <c r="O923" s="200"/>
      <c r="P923" s="200"/>
      <c r="Q923" s="200"/>
      <c r="R923" s="200"/>
      <c r="S923" s="200"/>
      <c r="T923" s="200"/>
    </row>
    <row r="924" ht="13.5" customHeight="1">
      <c r="A924" s="200"/>
      <c r="B924" s="200"/>
      <c r="C924" s="200"/>
      <c r="D924" s="200"/>
      <c r="E924" s="200"/>
      <c r="F924" s="200"/>
      <c r="G924" s="200"/>
      <c r="H924" s="200"/>
      <c r="I924" s="200"/>
      <c r="J924" s="200"/>
      <c r="K924" s="200"/>
      <c r="L924" s="200"/>
      <c r="M924" s="200"/>
      <c r="N924" s="200"/>
      <c r="O924" s="200"/>
      <c r="P924" s="200"/>
      <c r="Q924" s="200"/>
      <c r="R924" s="200"/>
      <c r="S924" s="200"/>
      <c r="T924" s="200"/>
    </row>
    <row r="925" ht="13.5" customHeight="1">
      <c r="A925" s="200"/>
      <c r="B925" s="200"/>
      <c r="C925" s="200"/>
      <c r="D925" s="200"/>
      <c r="E925" s="200"/>
      <c r="F925" s="200"/>
      <c r="G925" s="200"/>
      <c r="H925" s="200"/>
      <c r="I925" s="200"/>
      <c r="J925" s="200"/>
      <c r="K925" s="200"/>
      <c r="L925" s="200"/>
      <c r="M925" s="200"/>
      <c r="N925" s="200"/>
      <c r="O925" s="200"/>
      <c r="P925" s="200"/>
      <c r="Q925" s="200"/>
      <c r="R925" s="200"/>
      <c r="S925" s="200"/>
      <c r="T925" s="200"/>
    </row>
    <row r="926" ht="13.5" customHeight="1">
      <c r="A926" s="200"/>
      <c r="B926" s="200"/>
      <c r="C926" s="200"/>
      <c r="D926" s="200"/>
      <c r="E926" s="200"/>
      <c r="F926" s="200"/>
      <c r="G926" s="200"/>
      <c r="H926" s="200"/>
      <c r="I926" s="200"/>
      <c r="J926" s="200"/>
      <c r="K926" s="200"/>
      <c r="L926" s="200"/>
      <c r="M926" s="200"/>
      <c r="N926" s="200"/>
      <c r="O926" s="200"/>
      <c r="P926" s="200"/>
      <c r="Q926" s="200"/>
      <c r="R926" s="200"/>
      <c r="S926" s="200"/>
      <c r="T926" s="200"/>
    </row>
    <row r="927" ht="13.5" customHeight="1">
      <c r="A927" s="200"/>
      <c r="B927" s="200"/>
      <c r="C927" s="200"/>
      <c r="D927" s="200"/>
      <c r="E927" s="200"/>
      <c r="F927" s="200"/>
      <c r="G927" s="200"/>
      <c r="H927" s="200"/>
      <c r="I927" s="200"/>
      <c r="J927" s="200"/>
      <c r="K927" s="200"/>
      <c r="L927" s="200"/>
      <c r="M927" s="200"/>
      <c r="N927" s="200"/>
      <c r="O927" s="200"/>
      <c r="P927" s="200"/>
      <c r="Q927" s="200"/>
      <c r="R927" s="200"/>
      <c r="S927" s="200"/>
      <c r="T927" s="200"/>
    </row>
    <row r="928" ht="13.5" customHeight="1">
      <c r="A928" s="200"/>
      <c r="B928" s="200"/>
      <c r="C928" s="200"/>
      <c r="D928" s="200"/>
      <c r="E928" s="200"/>
      <c r="F928" s="200"/>
      <c r="G928" s="200"/>
      <c r="H928" s="200"/>
      <c r="I928" s="200"/>
      <c r="J928" s="200"/>
      <c r="K928" s="200"/>
      <c r="L928" s="200"/>
      <c r="M928" s="200"/>
      <c r="N928" s="200"/>
      <c r="O928" s="200"/>
      <c r="P928" s="200"/>
      <c r="Q928" s="200"/>
      <c r="R928" s="200"/>
      <c r="S928" s="200"/>
      <c r="T928" s="200"/>
    </row>
    <row r="929" ht="13.5" customHeight="1">
      <c r="A929" s="200"/>
      <c r="B929" s="200"/>
      <c r="C929" s="200"/>
      <c r="D929" s="200"/>
      <c r="E929" s="200"/>
      <c r="F929" s="200"/>
      <c r="G929" s="200"/>
      <c r="H929" s="200"/>
      <c r="I929" s="200"/>
      <c r="J929" s="200"/>
      <c r="K929" s="200"/>
      <c r="L929" s="200"/>
      <c r="M929" s="200"/>
      <c r="N929" s="200"/>
      <c r="O929" s="200"/>
      <c r="P929" s="200"/>
      <c r="Q929" s="200"/>
      <c r="R929" s="200"/>
      <c r="S929" s="200"/>
      <c r="T929" s="200"/>
    </row>
    <row r="930" ht="13.5" customHeight="1">
      <c r="A930" s="200"/>
      <c r="B930" s="200"/>
      <c r="C930" s="200"/>
      <c r="D930" s="200"/>
      <c r="E930" s="200"/>
      <c r="F930" s="200"/>
      <c r="G930" s="200"/>
      <c r="H930" s="200"/>
      <c r="I930" s="200"/>
      <c r="J930" s="200"/>
      <c r="K930" s="200"/>
      <c r="L930" s="200"/>
      <c r="M930" s="200"/>
      <c r="N930" s="200"/>
      <c r="O930" s="200"/>
      <c r="P930" s="200"/>
      <c r="Q930" s="200"/>
      <c r="R930" s="200"/>
      <c r="S930" s="200"/>
      <c r="T930" s="200"/>
    </row>
    <row r="931" ht="13.5" customHeight="1">
      <c r="A931" s="200"/>
      <c r="B931" s="200"/>
      <c r="C931" s="200"/>
      <c r="D931" s="200"/>
      <c r="E931" s="200"/>
      <c r="F931" s="200"/>
      <c r="G931" s="200"/>
      <c r="H931" s="200"/>
      <c r="I931" s="200"/>
      <c r="J931" s="200"/>
      <c r="K931" s="200"/>
      <c r="L931" s="200"/>
      <c r="M931" s="200"/>
      <c r="N931" s="200"/>
      <c r="O931" s="200"/>
      <c r="P931" s="200"/>
      <c r="Q931" s="200"/>
      <c r="R931" s="200"/>
      <c r="S931" s="200"/>
      <c r="T931" s="200"/>
    </row>
    <row r="932" ht="13.5" customHeight="1">
      <c r="A932" s="200"/>
      <c r="B932" s="200"/>
      <c r="C932" s="200"/>
      <c r="D932" s="200"/>
      <c r="E932" s="200"/>
      <c r="F932" s="200"/>
      <c r="G932" s="200"/>
      <c r="H932" s="200"/>
      <c r="I932" s="200"/>
      <c r="J932" s="200"/>
      <c r="K932" s="200"/>
      <c r="L932" s="200"/>
      <c r="M932" s="200"/>
      <c r="N932" s="200"/>
      <c r="O932" s="200"/>
      <c r="P932" s="200"/>
      <c r="Q932" s="200"/>
      <c r="R932" s="200"/>
      <c r="S932" s="200"/>
      <c r="T932" s="200"/>
    </row>
    <row r="933" ht="13.5" customHeight="1">
      <c r="A933" s="200"/>
      <c r="B933" s="200"/>
      <c r="C933" s="200"/>
      <c r="D933" s="200"/>
      <c r="E933" s="200"/>
      <c r="F933" s="200"/>
      <c r="G933" s="200"/>
      <c r="H933" s="200"/>
      <c r="I933" s="200"/>
      <c r="J933" s="200"/>
      <c r="K933" s="200"/>
      <c r="L933" s="200"/>
      <c r="M933" s="200"/>
      <c r="N933" s="200"/>
      <c r="O933" s="200"/>
      <c r="P933" s="200"/>
      <c r="Q933" s="200"/>
      <c r="R933" s="200"/>
      <c r="S933" s="200"/>
      <c r="T933" s="200"/>
    </row>
    <row r="934" ht="13.5" customHeight="1">
      <c r="A934" s="200"/>
      <c r="B934" s="200"/>
      <c r="C934" s="200"/>
      <c r="D934" s="200"/>
      <c r="E934" s="200"/>
      <c r="F934" s="200"/>
      <c r="G934" s="200"/>
      <c r="H934" s="200"/>
      <c r="I934" s="200"/>
      <c r="J934" s="200"/>
      <c r="K934" s="200"/>
      <c r="L934" s="200"/>
      <c r="M934" s="200"/>
      <c r="N934" s="200"/>
      <c r="O934" s="200"/>
      <c r="P934" s="200"/>
      <c r="Q934" s="200"/>
      <c r="R934" s="200"/>
      <c r="S934" s="200"/>
      <c r="T934" s="200"/>
    </row>
    <row r="935" ht="13.5" customHeight="1">
      <c r="A935" s="200"/>
      <c r="B935" s="200"/>
      <c r="C935" s="200"/>
      <c r="D935" s="200"/>
      <c r="E935" s="200"/>
      <c r="F935" s="200"/>
      <c r="G935" s="200"/>
      <c r="H935" s="200"/>
      <c r="I935" s="200"/>
      <c r="J935" s="200"/>
      <c r="K935" s="200"/>
      <c r="L935" s="200"/>
      <c r="M935" s="200"/>
      <c r="N935" s="200"/>
      <c r="O935" s="200"/>
      <c r="P935" s="200"/>
      <c r="Q935" s="200"/>
      <c r="R935" s="200"/>
      <c r="S935" s="200"/>
      <c r="T935" s="200"/>
    </row>
    <row r="936" ht="13.5" customHeight="1">
      <c r="A936" s="200"/>
      <c r="B936" s="200"/>
      <c r="C936" s="200"/>
      <c r="D936" s="200"/>
      <c r="E936" s="200"/>
      <c r="F936" s="200"/>
      <c r="G936" s="200"/>
      <c r="H936" s="200"/>
      <c r="I936" s="200"/>
      <c r="J936" s="200"/>
      <c r="K936" s="200"/>
      <c r="L936" s="200"/>
      <c r="M936" s="200"/>
      <c r="N936" s="200"/>
      <c r="O936" s="200"/>
      <c r="P936" s="200"/>
      <c r="Q936" s="200"/>
      <c r="R936" s="200"/>
      <c r="S936" s="200"/>
      <c r="T936" s="200"/>
    </row>
    <row r="937" ht="13.5" customHeight="1">
      <c r="A937" s="200"/>
      <c r="B937" s="200"/>
      <c r="C937" s="200"/>
      <c r="D937" s="200"/>
      <c r="E937" s="200"/>
      <c r="F937" s="200"/>
      <c r="G937" s="200"/>
      <c r="H937" s="200"/>
      <c r="I937" s="200"/>
      <c r="J937" s="200"/>
      <c r="K937" s="200"/>
      <c r="L937" s="200"/>
      <c r="M937" s="200"/>
      <c r="N937" s="200"/>
      <c r="O937" s="200"/>
      <c r="P937" s="200"/>
      <c r="Q937" s="200"/>
      <c r="R937" s="200"/>
      <c r="S937" s="200"/>
      <c r="T937" s="200"/>
    </row>
    <row r="938" ht="13.5" customHeight="1">
      <c r="A938" s="200"/>
      <c r="B938" s="200"/>
      <c r="C938" s="200"/>
      <c r="D938" s="200"/>
      <c r="E938" s="200"/>
      <c r="F938" s="200"/>
      <c r="G938" s="200"/>
      <c r="H938" s="200"/>
      <c r="I938" s="200"/>
      <c r="J938" s="200"/>
      <c r="K938" s="200"/>
      <c r="L938" s="200"/>
      <c r="M938" s="200"/>
      <c r="N938" s="200"/>
      <c r="O938" s="200"/>
      <c r="P938" s="200"/>
      <c r="Q938" s="200"/>
      <c r="R938" s="200"/>
      <c r="S938" s="200"/>
      <c r="T938" s="200"/>
    </row>
    <row r="939" ht="13.5" customHeight="1">
      <c r="A939" s="200"/>
      <c r="B939" s="200"/>
      <c r="C939" s="200"/>
      <c r="D939" s="200"/>
      <c r="E939" s="200"/>
      <c r="F939" s="200"/>
      <c r="G939" s="200"/>
      <c r="H939" s="200"/>
      <c r="I939" s="200"/>
      <c r="J939" s="200"/>
      <c r="K939" s="200"/>
      <c r="L939" s="200"/>
      <c r="M939" s="200"/>
      <c r="N939" s="200"/>
      <c r="O939" s="200"/>
      <c r="P939" s="200"/>
      <c r="Q939" s="200"/>
      <c r="R939" s="200"/>
      <c r="S939" s="200"/>
      <c r="T939" s="200"/>
    </row>
    <row r="940" ht="13.5" customHeight="1">
      <c r="A940" s="200"/>
      <c r="B940" s="200"/>
      <c r="C940" s="200"/>
      <c r="D940" s="200"/>
      <c r="E940" s="200"/>
      <c r="F940" s="200"/>
      <c r="G940" s="200"/>
      <c r="H940" s="200"/>
      <c r="I940" s="200"/>
      <c r="J940" s="200"/>
      <c r="K940" s="200"/>
      <c r="L940" s="200"/>
      <c r="M940" s="200"/>
      <c r="N940" s="200"/>
      <c r="O940" s="200"/>
      <c r="P940" s="200"/>
      <c r="Q940" s="200"/>
      <c r="R940" s="200"/>
      <c r="S940" s="200"/>
      <c r="T940" s="200"/>
    </row>
    <row r="941" ht="13.5" customHeight="1">
      <c r="A941" s="200"/>
      <c r="B941" s="200"/>
      <c r="C941" s="200"/>
      <c r="D941" s="200"/>
      <c r="E941" s="200"/>
      <c r="F941" s="200"/>
      <c r="G941" s="200"/>
      <c r="H941" s="200"/>
      <c r="I941" s="200"/>
      <c r="J941" s="200"/>
      <c r="K941" s="200"/>
      <c r="L941" s="200"/>
      <c r="M941" s="200"/>
      <c r="N941" s="200"/>
      <c r="O941" s="200"/>
      <c r="P941" s="200"/>
      <c r="Q941" s="200"/>
      <c r="R941" s="200"/>
      <c r="S941" s="200"/>
      <c r="T941" s="200"/>
    </row>
    <row r="942" ht="13.5" customHeight="1">
      <c r="A942" s="200"/>
      <c r="B942" s="200"/>
      <c r="C942" s="200"/>
      <c r="D942" s="200"/>
      <c r="E942" s="200"/>
      <c r="F942" s="200"/>
      <c r="G942" s="200"/>
      <c r="H942" s="200"/>
      <c r="I942" s="200"/>
      <c r="J942" s="200"/>
      <c r="K942" s="200"/>
      <c r="L942" s="200"/>
      <c r="M942" s="200"/>
      <c r="N942" s="200"/>
      <c r="O942" s="200"/>
      <c r="P942" s="200"/>
      <c r="Q942" s="200"/>
      <c r="R942" s="200"/>
      <c r="S942" s="200"/>
      <c r="T942" s="200"/>
    </row>
    <row r="943" ht="13.5" customHeight="1">
      <c r="A943" s="200"/>
      <c r="B943" s="200"/>
      <c r="C943" s="200"/>
      <c r="D943" s="200"/>
      <c r="E943" s="200"/>
      <c r="F943" s="200"/>
      <c r="G943" s="200"/>
      <c r="H943" s="200"/>
      <c r="I943" s="200"/>
      <c r="J943" s="200"/>
      <c r="K943" s="200"/>
      <c r="L943" s="200"/>
      <c r="M943" s="200"/>
      <c r="N943" s="200"/>
      <c r="O943" s="200"/>
      <c r="P943" s="200"/>
      <c r="Q943" s="200"/>
      <c r="R943" s="200"/>
      <c r="S943" s="200"/>
      <c r="T943" s="200"/>
    </row>
    <row r="944" ht="13.5" customHeight="1">
      <c r="A944" s="200"/>
      <c r="B944" s="200"/>
      <c r="C944" s="200"/>
      <c r="D944" s="200"/>
      <c r="E944" s="200"/>
      <c r="F944" s="200"/>
      <c r="G944" s="200"/>
      <c r="H944" s="200"/>
      <c r="I944" s="200"/>
      <c r="J944" s="200"/>
      <c r="K944" s="200"/>
      <c r="L944" s="200"/>
      <c r="M944" s="200"/>
      <c r="N944" s="200"/>
      <c r="O944" s="200"/>
      <c r="P944" s="200"/>
      <c r="Q944" s="200"/>
      <c r="R944" s="200"/>
      <c r="S944" s="200"/>
      <c r="T944" s="200"/>
    </row>
    <row r="945" ht="13.5" customHeight="1">
      <c r="A945" s="200"/>
      <c r="B945" s="200"/>
      <c r="C945" s="200"/>
      <c r="D945" s="200"/>
      <c r="E945" s="200"/>
      <c r="F945" s="200"/>
      <c r="G945" s="200"/>
      <c r="H945" s="200"/>
      <c r="I945" s="200"/>
      <c r="J945" s="200"/>
      <c r="K945" s="200"/>
      <c r="L945" s="200"/>
      <c r="M945" s="200"/>
      <c r="N945" s="200"/>
      <c r="O945" s="200"/>
      <c r="P945" s="200"/>
      <c r="Q945" s="200"/>
      <c r="R945" s="200"/>
      <c r="S945" s="200"/>
      <c r="T945" s="200"/>
    </row>
    <row r="946" ht="13.5" customHeight="1">
      <c r="A946" s="200"/>
      <c r="B946" s="200"/>
      <c r="C946" s="200"/>
      <c r="D946" s="200"/>
      <c r="E946" s="200"/>
      <c r="F946" s="200"/>
      <c r="G946" s="200"/>
      <c r="H946" s="200"/>
      <c r="I946" s="200"/>
      <c r="J946" s="200"/>
      <c r="K946" s="200"/>
      <c r="L946" s="200"/>
      <c r="M946" s="200"/>
      <c r="N946" s="200"/>
      <c r="O946" s="200"/>
      <c r="P946" s="200"/>
      <c r="Q946" s="200"/>
      <c r="R946" s="200"/>
      <c r="S946" s="200"/>
      <c r="T946" s="200"/>
    </row>
    <row r="947" ht="13.5" customHeight="1">
      <c r="A947" s="200"/>
      <c r="B947" s="200"/>
      <c r="C947" s="200"/>
      <c r="D947" s="200"/>
      <c r="E947" s="200"/>
      <c r="F947" s="200"/>
      <c r="G947" s="200"/>
      <c r="H947" s="200"/>
      <c r="I947" s="200"/>
      <c r="J947" s="200"/>
      <c r="K947" s="200"/>
      <c r="L947" s="200"/>
      <c r="M947" s="200"/>
      <c r="N947" s="200"/>
      <c r="O947" s="200"/>
      <c r="P947" s="200"/>
      <c r="Q947" s="200"/>
      <c r="R947" s="200"/>
      <c r="S947" s="200"/>
      <c r="T947" s="200"/>
    </row>
    <row r="948" ht="13.5" customHeight="1">
      <c r="A948" s="200"/>
      <c r="B948" s="200"/>
      <c r="C948" s="200"/>
      <c r="D948" s="200"/>
      <c r="E948" s="200"/>
      <c r="F948" s="200"/>
      <c r="G948" s="200"/>
      <c r="H948" s="200"/>
      <c r="I948" s="200"/>
      <c r="J948" s="200"/>
      <c r="K948" s="200"/>
      <c r="L948" s="200"/>
      <c r="M948" s="200"/>
      <c r="N948" s="200"/>
      <c r="O948" s="200"/>
      <c r="P948" s="200"/>
      <c r="Q948" s="200"/>
      <c r="R948" s="200"/>
      <c r="S948" s="200"/>
      <c r="T948" s="200"/>
    </row>
    <row r="949" ht="13.5" customHeight="1">
      <c r="A949" s="200"/>
      <c r="B949" s="200"/>
      <c r="C949" s="200"/>
      <c r="D949" s="200"/>
      <c r="E949" s="200"/>
      <c r="F949" s="200"/>
      <c r="G949" s="200"/>
      <c r="H949" s="200"/>
      <c r="I949" s="200"/>
      <c r="J949" s="200"/>
      <c r="K949" s="200"/>
      <c r="L949" s="200"/>
      <c r="M949" s="200"/>
      <c r="N949" s="200"/>
      <c r="O949" s="200"/>
      <c r="P949" s="200"/>
      <c r="Q949" s="200"/>
      <c r="R949" s="200"/>
      <c r="S949" s="200"/>
      <c r="T949" s="200"/>
    </row>
    <row r="950" ht="13.5" customHeight="1">
      <c r="A950" s="200"/>
      <c r="B950" s="200"/>
      <c r="C950" s="200"/>
      <c r="D950" s="200"/>
      <c r="E950" s="200"/>
      <c r="F950" s="200"/>
      <c r="G950" s="200"/>
      <c r="H950" s="200"/>
      <c r="I950" s="200"/>
      <c r="J950" s="200"/>
      <c r="K950" s="200"/>
      <c r="L950" s="200"/>
      <c r="M950" s="200"/>
      <c r="N950" s="200"/>
      <c r="O950" s="200"/>
      <c r="P950" s="200"/>
      <c r="Q950" s="200"/>
      <c r="R950" s="200"/>
      <c r="S950" s="200"/>
      <c r="T950" s="200"/>
    </row>
    <row r="951" ht="13.5" customHeight="1">
      <c r="A951" s="200"/>
      <c r="B951" s="200"/>
      <c r="C951" s="200"/>
      <c r="D951" s="200"/>
      <c r="E951" s="200"/>
      <c r="F951" s="200"/>
      <c r="G951" s="200"/>
      <c r="H951" s="200"/>
      <c r="I951" s="200"/>
      <c r="J951" s="200"/>
      <c r="K951" s="200"/>
      <c r="L951" s="200"/>
      <c r="M951" s="200"/>
      <c r="N951" s="200"/>
      <c r="O951" s="200"/>
      <c r="P951" s="200"/>
      <c r="Q951" s="200"/>
      <c r="R951" s="200"/>
      <c r="S951" s="200"/>
      <c r="T951" s="200"/>
    </row>
    <row r="952" ht="13.5" customHeight="1">
      <c r="A952" s="200"/>
      <c r="B952" s="200"/>
      <c r="C952" s="200"/>
      <c r="D952" s="200"/>
      <c r="E952" s="200"/>
      <c r="F952" s="200"/>
      <c r="G952" s="200"/>
      <c r="H952" s="200"/>
      <c r="I952" s="200"/>
      <c r="J952" s="200"/>
      <c r="K952" s="200"/>
      <c r="L952" s="200"/>
      <c r="M952" s="200"/>
      <c r="N952" s="200"/>
      <c r="O952" s="200"/>
      <c r="P952" s="200"/>
      <c r="Q952" s="200"/>
      <c r="R952" s="200"/>
      <c r="S952" s="200"/>
      <c r="T952" s="200"/>
    </row>
    <row r="953" ht="13.5" customHeight="1">
      <c r="A953" s="200"/>
      <c r="B953" s="200"/>
      <c r="C953" s="200"/>
      <c r="D953" s="200"/>
      <c r="E953" s="200"/>
      <c r="F953" s="200"/>
      <c r="G953" s="200"/>
      <c r="H953" s="200"/>
      <c r="I953" s="200"/>
      <c r="J953" s="200"/>
      <c r="K953" s="200"/>
      <c r="L953" s="200"/>
      <c r="M953" s="200"/>
      <c r="N953" s="200"/>
      <c r="O953" s="200"/>
      <c r="P953" s="200"/>
      <c r="Q953" s="200"/>
      <c r="R953" s="200"/>
      <c r="S953" s="200"/>
      <c r="T953" s="200"/>
    </row>
    <row r="954" ht="13.5" customHeight="1">
      <c r="A954" s="200"/>
      <c r="B954" s="200"/>
      <c r="C954" s="200"/>
      <c r="D954" s="200"/>
      <c r="E954" s="200"/>
      <c r="F954" s="200"/>
      <c r="G954" s="200"/>
      <c r="H954" s="200"/>
      <c r="I954" s="200"/>
      <c r="J954" s="200"/>
      <c r="K954" s="200"/>
      <c r="L954" s="200"/>
      <c r="M954" s="200"/>
      <c r="N954" s="200"/>
      <c r="O954" s="200"/>
      <c r="P954" s="200"/>
      <c r="Q954" s="200"/>
      <c r="R954" s="200"/>
      <c r="S954" s="200"/>
      <c r="T954" s="200"/>
    </row>
    <row r="955" ht="13.5" customHeight="1">
      <c r="A955" s="200"/>
      <c r="B955" s="200"/>
      <c r="C955" s="200"/>
      <c r="D955" s="200"/>
      <c r="E955" s="200"/>
      <c r="F955" s="200"/>
      <c r="G955" s="200"/>
      <c r="H955" s="200"/>
      <c r="I955" s="200"/>
      <c r="J955" s="200"/>
      <c r="K955" s="200"/>
      <c r="L955" s="200"/>
      <c r="M955" s="200"/>
      <c r="N955" s="200"/>
      <c r="O955" s="200"/>
      <c r="P955" s="200"/>
      <c r="Q955" s="200"/>
      <c r="R955" s="200"/>
      <c r="S955" s="200"/>
      <c r="T955" s="200"/>
    </row>
    <row r="956" ht="13.5" customHeight="1">
      <c r="A956" s="200"/>
      <c r="B956" s="200"/>
      <c r="C956" s="200"/>
      <c r="D956" s="200"/>
      <c r="E956" s="200"/>
      <c r="F956" s="200"/>
      <c r="G956" s="200"/>
      <c r="H956" s="200"/>
      <c r="I956" s="200"/>
      <c r="J956" s="200"/>
      <c r="K956" s="200"/>
      <c r="L956" s="200"/>
      <c r="M956" s="200"/>
      <c r="N956" s="200"/>
      <c r="O956" s="200"/>
      <c r="P956" s="200"/>
      <c r="Q956" s="200"/>
      <c r="R956" s="200"/>
      <c r="S956" s="200"/>
      <c r="T956" s="200"/>
    </row>
    <row r="957" ht="13.5" customHeight="1">
      <c r="A957" s="200"/>
      <c r="B957" s="200"/>
      <c r="C957" s="200"/>
      <c r="D957" s="200"/>
      <c r="E957" s="200"/>
      <c r="F957" s="200"/>
      <c r="G957" s="200"/>
      <c r="H957" s="200"/>
      <c r="I957" s="200"/>
      <c r="J957" s="200"/>
      <c r="K957" s="200"/>
      <c r="L957" s="200"/>
      <c r="M957" s="200"/>
      <c r="N957" s="200"/>
      <c r="O957" s="200"/>
      <c r="P957" s="200"/>
      <c r="Q957" s="200"/>
      <c r="R957" s="200"/>
      <c r="S957" s="200"/>
      <c r="T957" s="200"/>
    </row>
    <row r="958" ht="13.5" customHeight="1">
      <c r="A958" s="200"/>
      <c r="B958" s="200"/>
      <c r="C958" s="200"/>
      <c r="D958" s="200"/>
      <c r="E958" s="200"/>
      <c r="F958" s="200"/>
      <c r="G958" s="200"/>
      <c r="H958" s="200"/>
      <c r="I958" s="200"/>
      <c r="J958" s="200"/>
      <c r="K958" s="200"/>
      <c r="L958" s="200"/>
      <c r="M958" s="200"/>
      <c r="N958" s="200"/>
      <c r="O958" s="200"/>
      <c r="P958" s="200"/>
      <c r="Q958" s="200"/>
      <c r="R958" s="200"/>
      <c r="S958" s="200"/>
      <c r="T958" s="200"/>
    </row>
    <row r="959" ht="13.5" customHeight="1">
      <c r="A959" s="200"/>
      <c r="B959" s="200"/>
      <c r="C959" s="200"/>
      <c r="D959" s="200"/>
      <c r="E959" s="200"/>
      <c r="F959" s="200"/>
      <c r="G959" s="200"/>
      <c r="H959" s="200"/>
      <c r="I959" s="200"/>
      <c r="J959" s="200"/>
      <c r="K959" s="200"/>
      <c r="L959" s="200"/>
      <c r="M959" s="200"/>
      <c r="N959" s="200"/>
      <c r="O959" s="200"/>
      <c r="P959" s="200"/>
      <c r="Q959" s="200"/>
      <c r="R959" s="200"/>
      <c r="S959" s="200"/>
      <c r="T959" s="200"/>
    </row>
    <row r="960" ht="13.5" customHeight="1">
      <c r="A960" s="200"/>
      <c r="B960" s="200"/>
      <c r="C960" s="200"/>
      <c r="D960" s="200"/>
      <c r="E960" s="200"/>
      <c r="F960" s="200"/>
      <c r="G960" s="200"/>
      <c r="H960" s="200"/>
      <c r="I960" s="200"/>
      <c r="J960" s="200"/>
      <c r="K960" s="200"/>
      <c r="L960" s="200"/>
      <c r="M960" s="200"/>
      <c r="N960" s="200"/>
      <c r="O960" s="200"/>
      <c r="P960" s="200"/>
      <c r="Q960" s="200"/>
      <c r="R960" s="200"/>
      <c r="S960" s="200"/>
      <c r="T960" s="200"/>
    </row>
    <row r="961" ht="13.5" customHeight="1">
      <c r="A961" s="200"/>
      <c r="B961" s="200"/>
      <c r="C961" s="200"/>
      <c r="D961" s="200"/>
      <c r="E961" s="200"/>
      <c r="F961" s="200"/>
      <c r="G961" s="200"/>
      <c r="H961" s="200"/>
      <c r="I961" s="200"/>
      <c r="J961" s="200"/>
      <c r="K961" s="200"/>
      <c r="L961" s="200"/>
      <c r="M961" s="200"/>
      <c r="N961" s="200"/>
      <c r="O961" s="200"/>
      <c r="P961" s="200"/>
      <c r="Q961" s="200"/>
      <c r="R961" s="200"/>
      <c r="S961" s="200"/>
      <c r="T961" s="200"/>
    </row>
    <row r="962" ht="13.5" customHeight="1">
      <c r="A962" s="200"/>
      <c r="B962" s="200"/>
      <c r="C962" s="200"/>
      <c r="D962" s="200"/>
      <c r="E962" s="200"/>
      <c r="F962" s="200"/>
      <c r="G962" s="200"/>
      <c r="H962" s="200"/>
      <c r="I962" s="200"/>
      <c r="J962" s="200"/>
      <c r="K962" s="200"/>
      <c r="L962" s="200"/>
      <c r="M962" s="200"/>
      <c r="N962" s="200"/>
      <c r="O962" s="200"/>
      <c r="P962" s="200"/>
      <c r="Q962" s="200"/>
      <c r="R962" s="200"/>
      <c r="S962" s="200"/>
      <c r="T962" s="200"/>
    </row>
    <row r="963" ht="13.5" customHeight="1">
      <c r="A963" s="200"/>
      <c r="B963" s="200"/>
      <c r="C963" s="200"/>
      <c r="D963" s="200"/>
      <c r="E963" s="200"/>
      <c r="F963" s="200"/>
      <c r="G963" s="200"/>
      <c r="H963" s="200"/>
      <c r="I963" s="200"/>
      <c r="J963" s="200"/>
      <c r="K963" s="200"/>
      <c r="L963" s="200"/>
      <c r="M963" s="200"/>
      <c r="N963" s="200"/>
      <c r="O963" s="200"/>
      <c r="P963" s="200"/>
      <c r="Q963" s="200"/>
      <c r="R963" s="200"/>
      <c r="S963" s="200"/>
      <c r="T963" s="200"/>
    </row>
    <row r="964" ht="13.5" customHeight="1">
      <c r="A964" s="200"/>
      <c r="B964" s="200"/>
      <c r="C964" s="200"/>
      <c r="D964" s="200"/>
      <c r="E964" s="200"/>
      <c r="F964" s="200"/>
      <c r="G964" s="200"/>
      <c r="H964" s="200"/>
      <c r="I964" s="200"/>
      <c r="J964" s="200"/>
      <c r="K964" s="200"/>
      <c r="L964" s="200"/>
      <c r="M964" s="200"/>
      <c r="N964" s="200"/>
      <c r="O964" s="200"/>
      <c r="P964" s="200"/>
      <c r="Q964" s="200"/>
      <c r="R964" s="200"/>
      <c r="S964" s="200"/>
      <c r="T964" s="200"/>
    </row>
    <row r="965" ht="13.5" customHeight="1">
      <c r="A965" s="200"/>
      <c r="B965" s="200"/>
      <c r="C965" s="200"/>
      <c r="D965" s="200"/>
      <c r="E965" s="200"/>
      <c r="F965" s="200"/>
      <c r="G965" s="200"/>
      <c r="H965" s="200"/>
      <c r="I965" s="200"/>
      <c r="J965" s="200"/>
      <c r="K965" s="200"/>
      <c r="L965" s="200"/>
      <c r="M965" s="200"/>
      <c r="N965" s="200"/>
      <c r="O965" s="200"/>
      <c r="P965" s="200"/>
      <c r="Q965" s="200"/>
      <c r="R965" s="200"/>
      <c r="S965" s="200"/>
      <c r="T965" s="200"/>
    </row>
    <row r="966" ht="13.5" customHeight="1">
      <c r="A966" s="200"/>
      <c r="B966" s="200"/>
      <c r="C966" s="200"/>
      <c r="D966" s="200"/>
      <c r="E966" s="200"/>
      <c r="F966" s="200"/>
      <c r="G966" s="200"/>
      <c r="H966" s="200"/>
      <c r="I966" s="200"/>
      <c r="J966" s="200"/>
      <c r="K966" s="200"/>
      <c r="L966" s="200"/>
      <c r="M966" s="200"/>
      <c r="N966" s="200"/>
      <c r="O966" s="200"/>
      <c r="P966" s="200"/>
      <c r="Q966" s="200"/>
      <c r="R966" s="200"/>
      <c r="S966" s="200"/>
      <c r="T966" s="200"/>
    </row>
    <row r="967" ht="13.5" customHeight="1">
      <c r="A967" s="200"/>
      <c r="B967" s="200"/>
      <c r="C967" s="200"/>
      <c r="D967" s="200"/>
      <c r="E967" s="200"/>
      <c r="F967" s="200"/>
      <c r="G967" s="200"/>
      <c r="H967" s="200"/>
      <c r="I967" s="200"/>
      <c r="J967" s="200"/>
      <c r="K967" s="200"/>
      <c r="L967" s="200"/>
      <c r="M967" s="200"/>
      <c r="N967" s="200"/>
      <c r="O967" s="200"/>
      <c r="P967" s="200"/>
      <c r="Q967" s="200"/>
      <c r="R967" s="200"/>
      <c r="S967" s="200"/>
      <c r="T967" s="200"/>
    </row>
    <row r="968" ht="13.5" customHeight="1">
      <c r="A968" s="200"/>
      <c r="B968" s="200"/>
      <c r="C968" s="200"/>
      <c r="D968" s="200"/>
      <c r="E968" s="200"/>
      <c r="F968" s="200"/>
      <c r="G968" s="200"/>
      <c r="H968" s="200"/>
      <c r="I968" s="200"/>
      <c r="J968" s="200"/>
      <c r="K968" s="200"/>
      <c r="L968" s="200"/>
      <c r="M968" s="200"/>
      <c r="N968" s="200"/>
      <c r="O968" s="200"/>
      <c r="P968" s="200"/>
      <c r="Q968" s="200"/>
      <c r="R968" s="200"/>
      <c r="S968" s="200"/>
      <c r="T968" s="200"/>
    </row>
    <row r="969" ht="13.5" customHeight="1">
      <c r="A969" s="200"/>
      <c r="B969" s="200"/>
      <c r="C969" s="200"/>
      <c r="D969" s="200"/>
      <c r="E969" s="200"/>
      <c r="F969" s="200"/>
      <c r="G969" s="200"/>
      <c r="H969" s="200"/>
      <c r="I969" s="200"/>
      <c r="J969" s="200"/>
      <c r="K969" s="200"/>
      <c r="L969" s="200"/>
      <c r="M969" s="200"/>
      <c r="N969" s="200"/>
      <c r="O969" s="200"/>
      <c r="P969" s="200"/>
      <c r="Q969" s="200"/>
      <c r="R969" s="200"/>
      <c r="S969" s="200"/>
      <c r="T969" s="200"/>
    </row>
    <row r="970" ht="13.5" customHeight="1">
      <c r="A970" s="200"/>
      <c r="B970" s="200"/>
      <c r="C970" s="200"/>
      <c r="D970" s="200"/>
      <c r="E970" s="200"/>
      <c r="F970" s="200"/>
      <c r="G970" s="200"/>
      <c r="H970" s="200"/>
      <c r="I970" s="200"/>
      <c r="J970" s="200"/>
      <c r="K970" s="200"/>
      <c r="L970" s="200"/>
      <c r="M970" s="200"/>
      <c r="N970" s="200"/>
      <c r="O970" s="200"/>
      <c r="P970" s="200"/>
      <c r="Q970" s="200"/>
      <c r="R970" s="200"/>
      <c r="S970" s="200"/>
      <c r="T970" s="200"/>
    </row>
    <row r="971" ht="13.5" customHeight="1">
      <c r="A971" s="200"/>
      <c r="B971" s="200"/>
      <c r="C971" s="200"/>
      <c r="D971" s="200"/>
      <c r="E971" s="200"/>
      <c r="F971" s="200"/>
      <c r="G971" s="200"/>
      <c r="H971" s="200"/>
      <c r="I971" s="200"/>
      <c r="J971" s="200"/>
      <c r="K971" s="200"/>
      <c r="L971" s="200"/>
      <c r="M971" s="200"/>
      <c r="N971" s="200"/>
      <c r="O971" s="200"/>
      <c r="P971" s="200"/>
      <c r="Q971" s="200"/>
      <c r="R971" s="200"/>
      <c r="S971" s="200"/>
      <c r="T971" s="200"/>
    </row>
    <row r="972" ht="13.5" customHeight="1">
      <c r="A972" s="200"/>
      <c r="B972" s="200"/>
      <c r="C972" s="200"/>
      <c r="D972" s="200"/>
      <c r="E972" s="200"/>
      <c r="F972" s="200"/>
      <c r="G972" s="200"/>
      <c r="H972" s="200"/>
      <c r="I972" s="200"/>
      <c r="J972" s="200"/>
      <c r="K972" s="200"/>
      <c r="L972" s="200"/>
      <c r="M972" s="200"/>
      <c r="N972" s="200"/>
      <c r="O972" s="200"/>
      <c r="P972" s="200"/>
      <c r="Q972" s="200"/>
      <c r="R972" s="200"/>
      <c r="S972" s="200"/>
      <c r="T972" s="200"/>
    </row>
    <row r="973" ht="13.5" customHeight="1">
      <c r="A973" s="200"/>
      <c r="B973" s="200"/>
      <c r="C973" s="200"/>
      <c r="D973" s="200"/>
      <c r="E973" s="200"/>
      <c r="F973" s="200"/>
      <c r="G973" s="200"/>
      <c r="H973" s="200"/>
      <c r="I973" s="200"/>
      <c r="J973" s="200"/>
      <c r="K973" s="200"/>
      <c r="L973" s="200"/>
      <c r="M973" s="200"/>
      <c r="N973" s="200"/>
      <c r="O973" s="200"/>
      <c r="P973" s="200"/>
      <c r="Q973" s="200"/>
      <c r="R973" s="200"/>
      <c r="S973" s="200"/>
      <c r="T973" s="200"/>
    </row>
    <row r="974" ht="13.5" customHeight="1">
      <c r="A974" s="200"/>
      <c r="B974" s="200"/>
      <c r="C974" s="200"/>
      <c r="D974" s="200"/>
      <c r="E974" s="200"/>
      <c r="F974" s="200"/>
      <c r="G974" s="200"/>
      <c r="H974" s="200"/>
      <c r="I974" s="200"/>
      <c r="J974" s="200"/>
      <c r="K974" s="200"/>
      <c r="L974" s="200"/>
      <c r="M974" s="200"/>
      <c r="N974" s="200"/>
      <c r="O974" s="200"/>
      <c r="P974" s="200"/>
      <c r="Q974" s="200"/>
      <c r="R974" s="200"/>
      <c r="S974" s="200"/>
      <c r="T974" s="200"/>
    </row>
    <row r="975" ht="13.5" customHeight="1">
      <c r="A975" s="200"/>
      <c r="B975" s="200"/>
      <c r="C975" s="200"/>
      <c r="D975" s="200"/>
      <c r="E975" s="200"/>
      <c r="F975" s="200"/>
      <c r="G975" s="200"/>
      <c r="H975" s="200"/>
      <c r="I975" s="200"/>
      <c r="J975" s="200"/>
      <c r="K975" s="200"/>
      <c r="L975" s="200"/>
      <c r="M975" s="200"/>
      <c r="N975" s="200"/>
      <c r="O975" s="200"/>
      <c r="P975" s="200"/>
      <c r="Q975" s="200"/>
      <c r="R975" s="200"/>
      <c r="S975" s="200"/>
      <c r="T975" s="200"/>
    </row>
    <row r="976" ht="13.5" customHeight="1">
      <c r="A976" s="200"/>
      <c r="B976" s="200"/>
      <c r="C976" s="200"/>
      <c r="D976" s="200"/>
      <c r="E976" s="200"/>
      <c r="F976" s="200"/>
      <c r="G976" s="200"/>
      <c r="H976" s="200"/>
      <c r="I976" s="200"/>
      <c r="J976" s="200"/>
      <c r="K976" s="200"/>
      <c r="L976" s="200"/>
      <c r="M976" s="200"/>
      <c r="N976" s="200"/>
      <c r="O976" s="200"/>
      <c r="P976" s="200"/>
      <c r="Q976" s="200"/>
      <c r="R976" s="200"/>
      <c r="S976" s="200"/>
      <c r="T976" s="200"/>
    </row>
    <row r="977" ht="13.5" customHeight="1">
      <c r="A977" s="200"/>
      <c r="B977" s="200"/>
      <c r="C977" s="200"/>
      <c r="D977" s="200"/>
      <c r="E977" s="200"/>
      <c r="F977" s="200"/>
      <c r="G977" s="200"/>
      <c r="H977" s="200"/>
      <c r="I977" s="200"/>
      <c r="J977" s="200"/>
      <c r="K977" s="200"/>
      <c r="L977" s="200"/>
      <c r="M977" s="200"/>
      <c r="N977" s="200"/>
      <c r="O977" s="200"/>
      <c r="P977" s="200"/>
      <c r="Q977" s="200"/>
      <c r="R977" s="200"/>
      <c r="S977" s="200"/>
      <c r="T977" s="200"/>
    </row>
    <row r="978" ht="13.5" customHeight="1">
      <c r="A978" s="200"/>
      <c r="B978" s="200"/>
      <c r="C978" s="200"/>
      <c r="D978" s="200"/>
      <c r="E978" s="200"/>
      <c r="F978" s="200"/>
      <c r="G978" s="200"/>
      <c r="H978" s="200"/>
      <c r="I978" s="200"/>
      <c r="J978" s="200"/>
      <c r="K978" s="200"/>
      <c r="L978" s="200"/>
      <c r="M978" s="200"/>
      <c r="N978" s="200"/>
      <c r="O978" s="200"/>
      <c r="P978" s="200"/>
      <c r="Q978" s="200"/>
      <c r="R978" s="200"/>
      <c r="S978" s="200"/>
      <c r="T978" s="200"/>
    </row>
    <row r="979" ht="13.5" customHeight="1">
      <c r="A979" s="200"/>
      <c r="B979" s="200"/>
      <c r="C979" s="200"/>
      <c r="D979" s="200"/>
      <c r="E979" s="200"/>
      <c r="F979" s="200"/>
      <c r="G979" s="200"/>
      <c r="H979" s="200"/>
      <c r="I979" s="200"/>
      <c r="J979" s="200"/>
      <c r="K979" s="200"/>
      <c r="L979" s="200"/>
      <c r="M979" s="200"/>
      <c r="N979" s="200"/>
      <c r="O979" s="200"/>
      <c r="P979" s="200"/>
      <c r="Q979" s="200"/>
      <c r="R979" s="200"/>
      <c r="S979" s="200"/>
      <c r="T979" s="200"/>
    </row>
    <row r="980" ht="13.5" customHeight="1">
      <c r="A980" s="200"/>
      <c r="B980" s="200"/>
      <c r="C980" s="200"/>
      <c r="D980" s="200"/>
      <c r="E980" s="200"/>
      <c r="F980" s="200"/>
      <c r="G980" s="200"/>
      <c r="H980" s="200"/>
      <c r="I980" s="200"/>
      <c r="J980" s="200"/>
      <c r="K980" s="200"/>
      <c r="L980" s="200"/>
      <c r="M980" s="200"/>
      <c r="N980" s="200"/>
      <c r="O980" s="200"/>
      <c r="P980" s="200"/>
      <c r="Q980" s="200"/>
      <c r="R980" s="200"/>
      <c r="S980" s="200"/>
      <c r="T980" s="200"/>
    </row>
    <row r="981" ht="13.5" customHeight="1">
      <c r="A981" s="200"/>
      <c r="B981" s="200"/>
      <c r="C981" s="200"/>
      <c r="D981" s="200"/>
      <c r="E981" s="200"/>
      <c r="F981" s="200"/>
      <c r="G981" s="200"/>
      <c r="H981" s="200"/>
      <c r="I981" s="200"/>
      <c r="J981" s="200"/>
      <c r="K981" s="200"/>
      <c r="L981" s="200"/>
      <c r="M981" s="200"/>
      <c r="N981" s="200"/>
      <c r="O981" s="200"/>
      <c r="P981" s="200"/>
      <c r="Q981" s="200"/>
      <c r="R981" s="200"/>
      <c r="S981" s="200"/>
      <c r="T981" s="200"/>
    </row>
    <row r="982" ht="13.5" customHeight="1">
      <c r="A982" s="200"/>
      <c r="B982" s="200"/>
      <c r="C982" s="200"/>
      <c r="D982" s="200"/>
      <c r="E982" s="200"/>
      <c r="F982" s="200"/>
      <c r="G982" s="200"/>
      <c r="H982" s="200"/>
      <c r="I982" s="200"/>
      <c r="J982" s="200"/>
      <c r="K982" s="200"/>
      <c r="L982" s="200"/>
      <c r="M982" s="200"/>
      <c r="N982" s="200"/>
      <c r="O982" s="200"/>
      <c r="P982" s="200"/>
      <c r="Q982" s="200"/>
      <c r="R982" s="200"/>
      <c r="S982" s="200"/>
      <c r="T982" s="200"/>
    </row>
    <row r="983" ht="13.5" customHeight="1">
      <c r="A983" s="200"/>
      <c r="B983" s="200"/>
      <c r="C983" s="200"/>
      <c r="D983" s="200"/>
      <c r="E983" s="200"/>
      <c r="F983" s="200"/>
      <c r="G983" s="200"/>
      <c r="H983" s="200"/>
      <c r="I983" s="200"/>
      <c r="J983" s="200"/>
      <c r="K983" s="200"/>
      <c r="L983" s="200"/>
      <c r="M983" s="200"/>
      <c r="N983" s="200"/>
      <c r="O983" s="200"/>
      <c r="P983" s="200"/>
      <c r="Q983" s="200"/>
      <c r="R983" s="200"/>
      <c r="S983" s="200"/>
      <c r="T983" s="200"/>
    </row>
    <row r="984" ht="13.5" customHeight="1">
      <c r="A984" s="200"/>
      <c r="B984" s="200"/>
      <c r="C984" s="200"/>
      <c r="D984" s="200"/>
      <c r="E984" s="200"/>
      <c r="F984" s="200"/>
      <c r="G984" s="200"/>
      <c r="H984" s="200"/>
      <c r="I984" s="200"/>
      <c r="J984" s="200"/>
      <c r="K984" s="200"/>
      <c r="L984" s="200"/>
      <c r="M984" s="200"/>
      <c r="N984" s="200"/>
      <c r="O984" s="200"/>
      <c r="P984" s="200"/>
      <c r="Q984" s="200"/>
      <c r="R984" s="200"/>
      <c r="S984" s="200"/>
      <c r="T984" s="200"/>
    </row>
    <row r="985" ht="13.5" customHeight="1">
      <c r="A985" s="200"/>
      <c r="B985" s="200"/>
      <c r="C985" s="200"/>
      <c r="D985" s="200"/>
      <c r="E985" s="200"/>
      <c r="F985" s="200"/>
      <c r="G985" s="200"/>
      <c r="H985" s="200"/>
      <c r="I985" s="200"/>
      <c r="J985" s="200"/>
      <c r="K985" s="200"/>
      <c r="L985" s="200"/>
      <c r="M985" s="200"/>
      <c r="N985" s="200"/>
      <c r="O985" s="200"/>
      <c r="P985" s="200"/>
      <c r="Q985" s="200"/>
      <c r="R985" s="200"/>
      <c r="S985" s="200"/>
      <c r="T985" s="200"/>
    </row>
    <row r="986" ht="13.5" customHeight="1">
      <c r="A986" s="200"/>
      <c r="B986" s="200"/>
      <c r="C986" s="200"/>
      <c r="D986" s="200"/>
      <c r="E986" s="200"/>
      <c r="F986" s="200"/>
      <c r="G986" s="200"/>
      <c r="H986" s="200"/>
      <c r="I986" s="200"/>
      <c r="J986" s="200"/>
      <c r="K986" s="200"/>
      <c r="L986" s="200"/>
      <c r="M986" s="200"/>
      <c r="N986" s="200"/>
      <c r="O986" s="200"/>
      <c r="P986" s="200"/>
      <c r="Q986" s="200"/>
      <c r="R986" s="200"/>
      <c r="S986" s="200"/>
      <c r="T986" s="200"/>
    </row>
    <row r="987" ht="13.5" customHeight="1">
      <c r="A987" s="200"/>
      <c r="B987" s="200"/>
      <c r="C987" s="200"/>
      <c r="D987" s="200"/>
      <c r="E987" s="200"/>
      <c r="F987" s="200"/>
      <c r="G987" s="200"/>
      <c r="H987" s="200"/>
      <c r="I987" s="200"/>
      <c r="J987" s="200"/>
      <c r="K987" s="200"/>
      <c r="L987" s="200"/>
      <c r="M987" s="200"/>
      <c r="N987" s="200"/>
      <c r="O987" s="200"/>
      <c r="P987" s="200"/>
      <c r="Q987" s="200"/>
      <c r="R987" s="200"/>
      <c r="S987" s="200"/>
      <c r="T987" s="200"/>
    </row>
    <row r="988" ht="13.5" customHeight="1">
      <c r="A988" s="200"/>
      <c r="B988" s="200"/>
      <c r="C988" s="200"/>
      <c r="D988" s="200"/>
      <c r="E988" s="200"/>
      <c r="F988" s="200"/>
      <c r="G988" s="200"/>
      <c r="H988" s="200"/>
      <c r="I988" s="200"/>
      <c r="J988" s="200"/>
      <c r="K988" s="200"/>
      <c r="L988" s="200"/>
      <c r="M988" s="200"/>
      <c r="N988" s="200"/>
      <c r="O988" s="200"/>
      <c r="P988" s="200"/>
      <c r="Q988" s="200"/>
      <c r="R988" s="200"/>
      <c r="S988" s="200"/>
      <c r="T988" s="200"/>
    </row>
    <row r="989" ht="13.5" customHeight="1">
      <c r="A989" s="200"/>
      <c r="B989" s="200"/>
      <c r="C989" s="200"/>
      <c r="D989" s="200"/>
      <c r="E989" s="200"/>
      <c r="F989" s="200"/>
      <c r="G989" s="200"/>
      <c r="H989" s="200"/>
      <c r="I989" s="200"/>
      <c r="J989" s="200"/>
      <c r="K989" s="200"/>
      <c r="L989" s="200"/>
      <c r="M989" s="200"/>
      <c r="N989" s="200"/>
      <c r="O989" s="200"/>
      <c r="P989" s="200"/>
      <c r="Q989" s="200"/>
      <c r="R989" s="200"/>
      <c r="S989" s="200"/>
      <c r="T989" s="200"/>
    </row>
    <row r="990" ht="13.5" customHeight="1">
      <c r="A990" s="200"/>
      <c r="B990" s="200"/>
      <c r="C990" s="200"/>
      <c r="D990" s="200"/>
      <c r="E990" s="200"/>
      <c r="F990" s="200"/>
      <c r="G990" s="200"/>
      <c r="H990" s="200"/>
      <c r="I990" s="200"/>
      <c r="J990" s="200"/>
      <c r="K990" s="200"/>
      <c r="L990" s="200"/>
      <c r="M990" s="200"/>
      <c r="N990" s="200"/>
      <c r="O990" s="200"/>
      <c r="P990" s="200"/>
      <c r="Q990" s="200"/>
      <c r="R990" s="200"/>
      <c r="S990" s="200"/>
      <c r="T990" s="200"/>
    </row>
    <row r="991" ht="13.5" customHeight="1">
      <c r="A991" s="200"/>
      <c r="B991" s="200"/>
      <c r="C991" s="200"/>
      <c r="D991" s="200"/>
      <c r="E991" s="200"/>
      <c r="F991" s="200"/>
      <c r="G991" s="200"/>
      <c r="H991" s="200"/>
      <c r="I991" s="200"/>
      <c r="J991" s="200"/>
      <c r="K991" s="200"/>
      <c r="L991" s="200"/>
      <c r="M991" s="200"/>
      <c r="N991" s="200"/>
      <c r="O991" s="200"/>
      <c r="P991" s="200"/>
      <c r="Q991" s="200"/>
      <c r="R991" s="200"/>
      <c r="S991" s="200"/>
      <c r="T991" s="200"/>
    </row>
    <row r="992" ht="13.5" customHeight="1">
      <c r="A992" s="200"/>
      <c r="B992" s="200"/>
      <c r="C992" s="200"/>
      <c r="D992" s="200"/>
      <c r="E992" s="200"/>
      <c r="F992" s="200"/>
      <c r="G992" s="200"/>
      <c r="H992" s="200"/>
      <c r="I992" s="200"/>
      <c r="J992" s="200"/>
      <c r="K992" s="200"/>
      <c r="L992" s="200"/>
      <c r="M992" s="200"/>
      <c r="N992" s="200"/>
      <c r="O992" s="200"/>
      <c r="P992" s="200"/>
      <c r="Q992" s="200"/>
      <c r="R992" s="200"/>
      <c r="S992" s="200"/>
      <c r="T992" s="200"/>
    </row>
    <row r="993" ht="13.5" customHeight="1">
      <c r="A993" s="200"/>
      <c r="B993" s="200"/>
      <c r="C993" s="200"/>
      <c r="D993" s="200"/>
      <c r="E993" s="200"/>
      <c r="F993" s="200"/>
      <c r="G993" s="200"/>
      <c r="H993" s="200"/>
      <c r="I993" s="200"/>
      <c r="J993" s="200"/>
      <c r="K993" s="200"/>
      <c r="L993" s="200"/>
      <c r="M993" s="200"/>
      <c r="N993" s="200"/>
      <c r="O993" s="200"/>
      <c r="P993" s="200"/>
      <c r="Q993" s="200"/>
      <c r="R993" s="200"/>
      <c r="S993" s="200"/>
      <c r="T993" s="200"/>
    </row>
    <row r="994" ht="13.5" customHeight="1">
      <c r="A994" s="200"/>
      <c r="B994" s="200"/>
      <c r="C994" s="200"/>
      <c r="D994" s="200"/>
      <c r="E994" s="200"/>
      <c r="F994" s="200"/>
      <c r="G994" s="200"/>
      <c r="H994" s="200"/>
      <c r="I994" s="200"/>
      <c r="J994" s="200"/>
      <c r="K994" s="200"/>
      <c r="L994" s="200"/>
      <c r="M994" s="200"/>
      <c r="N994" s="200"/>
      <c r="O994" s="200"/>
      <c r="P994" s="200"/>
      <c r="Q994" s="200"/>
      <c r="R994" s="200"/>
      <c r="S994" s="200"/>
      <c r="T994" s="200"/>
    </row>
    <row r="995" ht="13.5" customHeight="1">
      <c r="A995" s="200"/>
      <c r="B995" s="200"/>
      <c r="C995" s="200"/>
      <c r="D995" s="200"/>
      <c r="E995" s="200"/>
      <c r="F995" s="200"/>
      <c r="G995" s="200"/>
      <c r="H995" s="200"/>
      <c r="I995" s="200"/>
      <c r="J995" s="200"/>
      <c r="K995" s="200"/>
      <c r="L995" s="200"/>
      <c r="M995" s="200"/>
      <c r="N995" s="200"/>
      <c r="O995" s="200"/>
      <c r="P995" s="200"/>
      <c r="Q995" s="200"/>
      <c r="R995" s="200"/>
      <c r="S995" s="200"/>
      <c r="T995" s="200"/>
    </row>
    <row r="996" ht="13.5" customHeight="1">
      <c r="A996" s="200"/>
      <c r="B996" s="200"/>
      <c r="C996" s="200"/>
      <c r="D996" s="200"/>
      <c r="E996" s="200"/>
      <c r="F996" s="200"/>
      <c r="G996" s="200"/>
      <c r="H996" s="200"/>
      <c r="I996" s="200"/>
      <c r="J996" s="200"/>
      <c r="K996" s="200"/>
      <c r="L996" s="200"/>
      <c r="M996" s="200"/>
      <c r="N996" s="200"/>
      <c r="O996" s="200"/>
      <c r="P996" s="200"/>
      <c r="Q996" s="200"/>
      <c r="R996" s="200"/>
      <c r="S996" s="200"/>
      <c r="T996" s="200"/>
    </row>
    <row r="997" ht="13.5" customHeight="1">
      <c r="A997" s="200"/>
      <c r="B997" s="200"/>
      <c r="C997" s="200"/>
      <c r="D997" s="200"/>
      <c r="E997" s="200"/>
      <c r="F997" s="200"/>
      <c r="G997" s="200"/>
      <c r="H997" s="200"/>
      <c r="I997" s="200"/>
      <c r="J997" s="200"/>
      <c r="K997" s="200"/>
      <c r="L997" s="200"/>
      <c r="M997" s="200"/>
      <c r="N997" s="200"/>
      <c r="O997" s="200"/>
      <c r="P997" s="200"/>
      <c r="Q997" s="200"/>
      <c r="R997" s="200"/>
      <c r="S997" s="200"/>
      <c r="T997" s="200"/>
    </row>
    <row r="998" ht="13.5" customHeight="1">
      <c r="A998" s="200"/>
      <c r="B998" s="200"/>
      <c r="C998" s="200"/>
      <c r="D998" s="200"/>
      <c r="E998" s="200"/>
      <c r="F998" s="200"/>
      <c r="G998" s="200"/>
      <c r="H998" s="200"/>
      <c r="I998" s="200"/>
      <c r="J998" s="200"/>
      <c r="K998" s="200"/>
      <c r="L998" s="200"/>
      <c r="M998" s="200"/>
      <c r="N998" s="200"/>
      <c r="O998" s="200"/>
      <c r="P998" s="200"/>
      <c r="Q998" s="200"/>
      <c r="R998" s="200"/>
      <c r="S998" s="200"/>
      <c r="T998" s="200"/>
    </row>
    <row r="999" ht="13.5" customHeight="1">
      <c r="A999" s="200"/>
      <c r="B999" s="200"/>
      <c r="C999" s="200"/>
      <c r="D999" s="200"/>
      <c r="E999" s="200"/>
      <c r="F999" s="200"/>
      <c r="G999" s="200"/>
      <c r="H999" s="200"/>
      <c r="I999" s="200"/>
      <c r="J999" s="200"/>
      <c r="K999" s="200"/>
      <c r="L999" s="200"/>
      <c r="M999" s="200"/>
      <c r="N999" s="200"/>
      <c r="O999" s="200"/>
      <c r="P999" s="200"/>
      <c r="Q999" s="200"/>
      <c r="R999" s="200"/>
      <c r="S999" s="200"/>
      <c r="T999" s="200"/>
    </row>
    <row r="1000" ht="13.5" customHeight="1">
      <c r="A1000" s="200"/>
      <c r="B1000" s="200"/>
      <c r="C1000" s="200"/>
      <c r="D1000" s="200"/>
      <c r="E1000" s="200"/>
      <c r="F1000" s="200"/>
      <c r="G1000" s="200"/>
      <c r="H1000" s="200"/>
      <c r="I1000" s="200"/>
      <c r="J1000" s="200"/>
      <c r="K1000" s="200"/>
      <c r="L1000" s="200"/>
      <c r="M1000" s="200"/>
      <c r="N1000" s="200"/>
      <c r="O1000" s="200"/>
      <c r="P1000" s="200"/>
      <c r="Q1000" s="200"/>
      <c r="R1000" s="200"/>
      <c r="S1000" s="200"/>
      <c r="T1000" s="200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86"/>
    <col customWidth="1" min="2" max="2" width="20.14"/>
    <col customWidth="1" min="3" max="3" width="29.43"/>
    <col customWidth="1" min="4" max="22" width="10.71"/>
  </cols>
  <sheetData>
    <row r="1" ht="13.5" customHeight="1">
      <c r="A1" s="206"/>
      <c r="B1" s="206"/>
      <c r="C1" s="206"/>
    </row>
    <row r="2" ht="13.5" customHeight="1">
      <c r="A2" s="207" t="s">
        <v>248</v>
      </c>
      <c r="B2" s="207" t="s">
        <v>249</v>
      </c>
      <c r="C2" s="207" t="s">
        <v>250</v>
      </c>
      <c r="D2" s="206"/>
      <c r="E2" s="206"/>
      <c r="F2" s="206"/>
      <c r="G2" s="206"/>
      <c r="H2" s="206"/>
      <c r="I2" s="206"/>
      <c r="J2" s="206"/>
      <c r="K2" s="206"/>
    </row>
    <row r="3" ht="13.5" customHeight="1">
      <c r="A3" s="208" t="s">
        <v>251</v>
      </c>
      <c r="B3" s="208" t="s">
        <v>252</v>
      </c>
      <c r="C3" s="209">
        <v>98.82</v>
      </c>
      <c r="D3" s="206"/>
      <c r="E3" s="206"/>
      <c r="F3" s="206"/>
      <c r="G3" s="206"/>
      <c r="H3" s="206"/>
      <c r="I3" s="206"/>
      <c r="J3" s="206"/>
      <c r="K3" s="206"/>
    </row>
    <row r="4" ht="13.5" customHeight="1">
      <c r="A4" s="208" t="s">
        <v>253</v>
      </c>
      <c r="B4" s="208" t="s">
        <v>254</v>
      </c>
      <c r="C4" s="209">
        <v>189.2</v>
      </c>
      <c r="D4" s="206"/>
      <c r="E4" s="206"/>
      <c r="F4" s="206"/>
      <c r="G4" s="206"/>
      <c r="H4" s="206"/>
      <c r="I4" s="206"/>
      <c r="J4" s="206"/>
      <c r="K4" s="206"/>
    </row>
    <row r="5" ht="13.5" customHeight="1">
      <c r="A5" s="208" t="s">
        <v>255</v>
      </c>
      <c r="B5" s="208" t="s">
        <v>256</v>
      </c>
      <c r="C5" s="209">
        <v>274.86</v>
      </c>
      <c r="D5" s="206"/>
      <c r="E5" s="206"/>
      <c r="F5" s="206"/>
      <c r="G5" s="206"/>
      <c r="H5" s="206"/>
      <c r="I5" s="206"/>
      <c r="J5" s="206"/>
      <c r="K5" s="206"/>
    </row>
    <row r="6" ht="13.5" customHeight="1">
      <c r="A6" s="208" t="s">
        <v>257</v>
      </c>
      <c r="B6" s="208" t="s">
        <v>256</v>
      </c>
      <c r="C6" s="209">
        <v>566.5</v>
      </c>
      <c r="D6" s="206"/>
      <c r="E6" s="206"/>
      <c r="F6" s="206"/>
      <c r="G6" s="206"/>
      <c r="H6" s="206"/>
      <c r="I6" s="206"/>
      <c r="J6" s="206"/>
      <c r="K6" s="206"/>
    </row>
    <row r="7" ht="13.5" customHeight="1">
      <c r="A7" s="208" t="s">
        <v>258</v>
      </c>
      <c r="B7" s="208" t="s">
        <v>256</v>
      </c>
      <c r="C7" s="209">
        <v>624.8</v>
      </c>
      <c r="D7" s="206"/>
      <c r="E7" s="206"/>
      <c r="F7" s="206"/>
      <c r="G7" s="206"/>
      <c r="H7" s="206"/>
      <c r="I7" s="206"/>
      <c r="J7" s="206"/>
      <c r="K7" s="206"/>
    </row>
    <row r="8" ht="13.5" customHeight="1">
      <c r="A8" s="208" t="s">
        <v>259</v>
      </c>
      <c r="B8" s="208" t="s">
        <v>256</v>
      </c>
      <c r="C8" s="209">
        <v>499.5</v>
      </c>
      <c r="D8" s="206"/>
      <c r="E8" s="206"/>
      <c r="F8" s="206"/>
      <c r="G8" s="206"/>
      <c r="H8" s="206"/>
      <c r="I8" s="206"/>
      <c r="J8" s="206"/>
      <c r="K8" s="206"/>
    </row>
    <row r="9" ht="13.5" customHeight="1">
      <c r="A9" s="208" t="s">
        <v>260</v>
      </c>
      <c r="B9" s="208" t="s">
        <v>256</v>
      </c>
      <c r="C9" s="209">
        <v>624.8</v>
      </c>
      <c r="D9" s="206"/>
      <c r="E9" s="206"/>
      <c r="F9" s="206"/>
      <c r="G9" s="206"/>
      <c r="H9" s="206"/>
      <c r="I9" s="206"/>
      <c r="J9" s="206"/>
      <c r="K9" s="206"/>
    </row>
    <row r="10" ht="13.5" customHeight="1">
      <c r="A10" s="208" t="s">
        <v>261</v>
      </c>
      <c r="B10" s="208" t="s">
        <v>256</v>
      </c>
      <c r="C10" s="209">
        <v>499.5</v>
      </c>
      <c r="D10" s="206"/>
      <c r="E10" s="206"/>
      <c r="F10" s="206"/>
      <c r="G10" s="206"/>
      <c r="H10" s="206"/>
      <c r="I10" s="206"/>
      <c r="J10" s="206"/>
      <c r="K10" s="206"/>
    </row>
    <row r="11" ht="13.5" customHeight="1">
      <c r="A11" s="208" t="s">
        <v>262</v>
      </c>
      <c r="B11" s="208" t="s">
        <v>256</v>
      </c>
      <c r="C11" s="209">
        <v>624.88</v>
      </c>
      <c r="D11" s="206"/>
      <c r="E11" s="206"/>
      <c r="F11" s="206"/>
      <c r="G11" s="206"/>
      <c r="H11" s="206"/>
      <c r="I11" s="206"/>
      <c r="J11" s="206"/>
      <c r="K11" s="206"/>
    </row>
    <row r="12" ht="13.5" customHeight="1">
      <c r="A12" s="208" t="s">
        <v>263</v>
      </c>
      <c r="B12" s="208" t="s">
        <v>256</v>
      </c>
      <c r="C12" s="209">
        <v>245.3</v>
      </c>
      <c r="D12" s="206"/>
      <c r="E12" s="206"/>
      <c r="F12" s="206"/>
      <c r="G12" s="206"/>
      <c r="H12" s="206"/>
      <c r="I12" s="206"/>
      <c r="J12" s="206"/>
      <c r="K12" s="206"/>
    </row>
    <row r="13" ht="13.5" customHeight="1">
      <c r="A13" s="208" t="s">
        <v>264</v>
      </c>
      <c r="B13" s="208" t="s">
        <v>256</v>
      </c>
      <c r="C13" s="209">
        <v>624.8</v>
      </c>
      <c r="D13" s="206"/>
      <c r="E13" s="206"/>
      <c r="F13" s="206"/>
      <c r="G13" s="206"/>
      <c r="H13" s="206"/>
      <c r="I13" s="206"/>
      <c r="J13" s="206"/>
      <c r="K13" s="206"/>
    </row>
    <row r="14" ht="13.5" customHeight="1">
      <c r="A14" s="208" t="s">
        <v>265</v>
      </c>
      <c r="B14" s="208" t="s">
        <v>256</v>
      </c>
      <c r="C14" s="209">
        <v>499.5</v>
      </c>
      <c r="D14" s="206"/>
      <c r="E14" s="206"/>
      <c r="F14" s="206"/>
      <c r="G14" s="206"/>
      <c r="H14" s="206"/>
      <c r="I14" s="206"/>
      <c r="J14" s="206"/>
      <c r="K14" s="206"/>
    </row>
    <row r="15" ht="13.5" customHeight="1">
      <c r="A15" s="208" t="s">
        <v>266</v>
      </c>
      <c r="B15" s="208" t="s">
        <v>256</v>
      </c>
      <c r="C15" s="209">
        <v>624.8</v>
      </c>
      <c r="D15" s="206"/>
      <c r="E15" s="206"/>
      <c r="F15" s="206"/>
      <c r="G15" s="206"/>
      <c r="H15" s="206"/>
      <c r="I15" s="206"/>
      <c r="J15" s="206"/>
      <c r="K15" s="206"/>
    </row>
    <row r="16" ht="13.5" customHeight="1">
      <c r="A16" s="208" t="s">
        <v>267</v>
      </c>
      <c r="B16" s="208" t="s">
        <v>256</v>
      </c>
      <c r="C16" s="209">
        <v>503.25</v>
      </c>
      <c r="D16" s="206"/>
      <c r="E16" s="206"/>
      <c r="F16" s="206"/>
      <c r="G16" s="206"/>
      <c r="H16" s="206"/>
      <c r="I16" s="206"/>
      <c r="J16" s="206"/>
      <c r="K16" s="206"/>
    </row>
    <row r="17" ht="13.5" customHeight="1">
      <c r="A17" s="208" t="s">
        <v>268</v>
      </c>
      <c r="B17" s="208" t="s">
        <v>269</v>
      </c>
      <c r="C17" s="209">
        <v>499.77</v>
      </c>
      <c r="D17" s="206"/>
      <c r="E17" s="206"/>
      <c r="F17" s="206"/>
      <c r="G17" s="206"/>
      <c r="H17" s="206"/>
      <c r="I17" s="206"/>
      <c r="J17" s="206"/>
      <c r="K17" s="206"/>
    </row>
    <row r="18" ht="13.5" customHeight="1">
      <c r="A18" s="208" t="s">
        <v>270</v>
      </c>
      <c r="B18" s="208" t="s">
        <v>269</v>
      </c>
      <c r="C18" s="209">
        <v>499.98</v>
      </c>
      <c r="D18" s="206"/>
      <c r="E18" s="206"/>
      <c r="F18" s="206"/>
      <c r="G18" s="206"/>
      <c r="H18" s="206"/>
      <c r="I18" s="206"/>
      <c r="J18" s="206"/>
      <c r="K18" s="206"/>
    </row>
    <row r="19" ht="13.5" customHeight="1">
      <c r="A19" s="208" t="s">
        <v>271</v>
      </c>
      <c r="B19" s="208" t="s">
        <v>269</v>
      </c>
      <c r="C19" s="209">
        <v>624.91</v>
      </c>
      <c r="D19" s="206"/>
      <c r="E19" s="206"/>
      <c r="F19" s="206"/>
      <c r="G19" s="206"/>
      <c r="H19" s="206"/>
      <c r="I19" s="206"/>
      <c r="J19" s="206"/>
      <c r="K19" s="206"/>
    </row>
    <row r="20" ht="13.5" customHeight="1">
      <c r="A20" s="208" t="s">
        <v>272</v>
      </c>
      <c r="B20" s="208" t="s">
        <v>269</v>
      </c>
      <c r="C20" s="209">
        <v>498.96</v>
      </c>
      <c r="D20" s="206"/>
      <c r="E20" s="206"/>
      <c r="F20" s="206"/>
      <c r="G20" s="206"/>
      <c r="H20" s="206"/>
      <c r="I20" s="206"/>
      <c r="J20" s="206"/>
      <c r="K20" s="206"/>
    </row>
    <row r="21" ht="13.5" customHeight="1">
      <c r="A21" s="208" t="s">
        <v>273</v>
      </c>
      <c r="B21" s="208" t="s">
        <v>269</v>
      </c>
      <c r="C21" s="209">
        <v>624.24</v>
      </c>
      <c r="D21" s="206"/>
      <c r="E21" s="206"/>
      <c r="F21" s="206"/>
      <c r="G21" s="206"/>
      <c r="H21" s="206"/>
      <c r="I21" s="206"/>
      <c r="J21" s="206"/>
      <c r="K21" s="206"/>
    </row>
    <row r="22" ht="13.5" customHeight="1">
      <c r="A22" s="208" t="s">
        <v>274</v>
      </c>
      <c r="B22" s="208" t="s">
        <v>269</v>
      </c>
      <c r="C22" s="209">
        <v>498.96</v>
      </c>
      <c r="D22" s="206"/>
      <c r="E22" s="206"/>
      <c r="F22" s="206"/>
      <c r="G22" s="206"/>
      <c r="H22" s="206"/>
      <c r="I22" s="206"/>
      <c r="J22" s="206"/>
      <c r="K22" s="206"/>
    </row>
    <row r="23" ht="13.5" customHeight="1">
      <c r="A23" s="208" t="s">
        <v>275</v>
      </c>
      <c r="B23" s="208" t="s">
        <v>269</v>
      </c>
      <c r="C23" s="209">
        <v>624.8</v>
      </c>
      <c r="D23" s="206"/>
      <c r="E23" s="206"/>
      <c r="F23" s="206"/>
      <c r="G23" s="206"/>
      <c r="H23" s="206"/>
      <c r="I23" s="206"/>
      <c r="J23" s="206"/>
      <c r="K23" s="206"/>
    </row>
    <row r="24" ht="13.5" customHeight="1">
      <c r="A24" s="208" t="s">
        <v>276</v>
      </c>
      <c r="B24" s="208" t="s">
        <v>269</v>
      </c>
      <c r="C24" s="209">
        <v>499.98</v>
      </c>
      <c r="D24" s="206"/>
      <c r="E24" s="206"/>
      <c r="F24" s="206"/>
      <c r="G24" s="206"/>
      <c r="H24" s="206"/>
      <c r="I24" s="206"/>
      <c r="J24" s="206"/>
      <c r="K24" s="206"/>
    </row>
    <row r="25" ht="13.5" customHeight="1">
      <c r="A25" s="208" t="s">
        <v>277</v>
      </c>
      <c r="B25" s="208" t="s">
        <v>269</v>
      </c>
      <c r="C25" s="209">
        <v>498.96</v>
      </c>
      <c r="D25" s="206"/>
      <c r="E25" s="206"/>
      <c r="F25" s="206"/>
      <c r="G25" s="206"/>
      <c r="H25" s="206"/>
      <c r="I25" s="206"/>
      <c r="J25" s="206"/>
      <c r="K25" s="206"/>
    </row>
    <row r="26" ht="13.5" customHeight="1">
      <c r="A26" s="208" t="s">
        <v>278</v>
      </c>
      <c r="B26" s="208" t="s">
        <v>269</v>
      </c>
      <c r="C26" s="209">
        <v>499.77</v>
      </c>
      <c r="D26" s="206"/>
      <c r="E26" s="206"/>
      <c r="F26" s="206"/>
      <c r="G26" s="206"/>
      <c r="H26" s="206"/>
      <c r="I26" s="206"/>
      <c r="J26" s="206"/>
      <c r="K26" s="206"/>
    </row>
    <row r="27" ht="13.5" customHeight="1">
      <c r="A27" s="208" t="s">
        <v>279</v>
      </c>
      <c r="B27" s="208" t="s">
        <v>269</v>
      </c>
      <c r="C27" s="209">
        <v>624.91</v>
      </c>
      <c r="D27" s="206"/>
      <c r="E27" s="206"/>
      <c r="F27" s="206"/>
      <c r="G27" s="206"/>
      <c r="H27" s="206"/>
      <c r="I27" s="206"/>
      <c r="J27" s="206"/>
      <c r="K27" s="206"/>
    </row>
    <row r="28" ht="13.5" customHeight="1">
      <c r="A28" s="208" t="s">
        <v>280</v>
      </c>
      <c r="B28" s="208" t="s">
        <v>269</v>
      </c>
      <c r="C28" s="209">
        <v>499.98</v>
      </c>
      <c r="D28" s="206"/>
      <c r="E28" s="206"/>
      <c r="F28" s="206"/>
      <c r="G28" s="206"/>
      <c r="H28" s="206"/>
      <c r="I28" s="206"/>
      <c r="J28" s="206"/>
      <c r="K28" s="206"/>
    </row>
    <row r="29" ht="13.5" customHeight="1">
      <c r="A29" s="208" t="s">
        <v>281</v>
      </c>
      <c r="B29" s="208" t="s">
        <v>269</v>
      </c>
      <c r="C29" s="209">
        <v>625.93</v>
      </c>
      <c r="D29" s="206"/>
      <c r="E29" s="206"/>
      <c r="F29" s="206"/>
      <c r="G29" s="206"/>
      <c r="H29" s="206"/>
      <c r="I29" s="206"/>
      <c r="J29" s="206"/>
      <c r="K29" s="206"/>
    </row>
    <row r="30" ht="13.5" customHeight="1">
      <c r="A30" s="208" t="s">
        <v>282</v>
      </c>
      <c r="B30" s="208" t="s">
        <v>269</v>
      </c>
      <c r="C30" s="209">
        <v>499.77</v>
      </c>
      <c r="D30" s="206"/>
      <c r="E30" s="206"/>
      <c r="F30" s="206"/>
      <c r="G30" s="206"/>
      <c r="H30" s="206"/>
      <c r="I30" s="206"/>
      <c r="J30" s="206"/>
      <c r="K30" s="206"/>
    </row>
    <row r="31" ht="13.5" customHeight="1">
      <c r="A31" s="208" t="s">
        <v>283</v>
      </c>
      <c r="B31" s="208" t="s">
        <v>269</v>
      </c>
      <c r="C31" s="209">
        <v>624.91</v>
      </c>
      <c r="D31" s="206"/>
      <c r="E31" s="206"/>
      <c r="F31" s="206"/>
      <c r="G31" s="206"/>
      <c r="H31" s="206"/>
      <c r="I31" s="206"/>
      <c r="J31" s="206"/>
      <c r="K31" s="206"/>
    </row>
    <row r="32" ht="13.5" customHeight="1">
      <c r="A32" s="208" t="s">
        <v>284</v>
      </c>
      <c r="B32" s="208" t="s">
        <v>269</v>
      </c>
      <c r="C32" s="209">
        <v>624.83</v>
      </c>
      <c r="D32" s="206"/>
      <c r="E32" s="206"/>
      <c r="F32" s="206"/>
      <c r="G32" s="206"/>
      <c r="H32" s="206"/>
      <c r="I32" s="206"/>
      <c r="J32" s="206"/>
      <c r="K32" s="206"/>
    </row>
    <row r="33" ht="13.5" customHeight="1">
      <c r="A33" s="208" t="s">
        <v>285</v>
      </c>
      <c r="B33" s="208" t="s">
        <v>269</v>
      </c>
      <c r="C33" s="209">
        <v>499.98</v>
      </c>
      <c r="D33" s="206"/>
      <c r="E33" s="206"/>
      <c r="F33" s="206"/>
      <c r="G33" s="206"/>
      <c r="H33" s="206"/>
      <c r="I33" s="206"/>
      <c r="J33" s="206"/>
      <c r="K33" s="206"/>
    </row>
    <row r="34" ht="13.5" customHeight="1">
      <c r="A34" s="208" t="s">
        <v>286</v>
      </c>
      <c r="B34" s="208" t="s">
        <v>269</v>
      </c>
      <c r="C34" s="209">
        <v>363.09</v>
      </c>
      <c r="D34" s="206"/>
      <c r="E34" s="206"/>
      <c r="F34" s="206"/>
      <c r="G34" s="206"/>
      <c r="H34" s="206"/>
      <c r="I34" s="206"/>
      <c r="J34" s="206"/>
      <c r="K34" s="206"/>
    </row>
    <row r="35" ht="13.5" customHeight="1">
      <c r="A35" s="208" t="s">
        <v>287</v>
      </c>
      <c r="B35" s="208" t="s">
        <v>269</v>
      </c>
      <c r="C35" s="209">
        <v>481.26</v>
      </c>
      <c r="D35" s="206"/>
      <c r="E35" s="206"/>
      <c r="F35" s="206"/>
      <c r="G35" s="206"/>
      <c r="H35" s="206"/>
      <c r="I35" s="206"/>
      <c r="J35" s="206"/>
      <c r="K35" s="206"/>
    </row>
    <row r="36" ht="13.5" customHeight="1">
      <c r="A36" s="208" t="s">
        <v>288</v>
      </c>
      <c r="B36" s="208" t="s">
        <v>269</v>
      </c>
      <c r="C36" s="209">
        <v>499.77</v>
      </c>
      <c r="D36" s="206"/>
      <c r="E36" s="206"/>
      <c r="F36" s="206"/>
      <c r="G36" s="206"/>
      <c r="H36" s="206"/>
      <c r="I36" s="206"/>
      <c r="J36" s="206"/>
      <c r="K36" s="206"/>
    </row>
    <row r="37" ht="13.5" customHeight="1">
      <c r="A37" s="208" t="s">
        <v>289</v>
      </c>
      <c r="B37" s="208" t="s">
        <v>269</v>
      </c>
      <c r="C37" s="209">
        <v>624.83</v>
      </c>
      <c r="D37" s="206"/>
      <c r="E37" s="206"/>
      <c r="F37" s="206"/>
      <c r="G37" s="206"/>
      <c r="H37" s="206"/>
      <c r="I37" s="206"/>
      <c r="J37" s="206"/>
      <c r="K37" s="206"/>
    </row>
    <row r="38" ht="13.5" customHeight="1">
      <c r="A38" s="208" t="s">
        <v>290</v>
      </c>
      <c r="B38" s="208" t="s">
        <v>291</v>
      </c>
      <c r="C38" s="209">
        <v>440.0</v>
      </c>
      <c r="D38" s="206"/>
      <c r="E38" s="206"/>
      <c r="F38" s="206"/>
      <c r="G38" s="206"/>
      <c r="H38" s="206"/>
      <c r="I38" s="206"/>
      <c r="J38" s="206"/>
      <c r="K38" s="206"/>
    </row>
    <row r="39" ht="13.5" customHeight="1">
      <c r="A39" s="208" t="s">
        <v>292</v>
      </c>
      <c r="B39" s="208" t="s">
        <v>291</v>
      </c>
      <c r="C39" s="209">
        <v>499.95</v>
      </c>
      <c r="D39" s="206"/>
      <c r="E39" s="206"/>
      <c r="F39" s="206"/>
      <c r="G39" s="206"/>
      <c r="H39" s="206"/>
      <c r="I39" s="206"/>
      <c r="J39" s="206"/>
      <c r="K39" s="206"/>
    </row>
    <row r="40" ht="13.5" customHeight="1">
      <c r="A40" s="208" t="s">
        <v>293</v>
      </c>
      <c r="B40" s="208" t="s">
        <v>294</v>
      </c>
      <c r="C40" s="209">
        <v>284.36</v>
      </c>
      <c r="D40" s="206"/>
      <c r="E40" s="206"/>
      <c r="F40" s="206"/>
      <c r="G40" s="206"/>
      <c r="H40" s="206"/>
      <c r="I40" s="206"/>
      <c r="J40" s="206"/>
      <c r="K40" s="206"/>
    </row>
    <row r="41" ht="13.5" customHeight="1">
      <c r="A41" s="208" t="s">
        <v>295</v>
      </c>
      <c r="B41" s="208" t="s">
        <v>296</v>
      </c>
      <c r="C41" s="209">
        <v>499.74</v>
      </c>
      <c r="D41" s="206"/>
      <c r="E41" s="206"/>
      <c r="F41" s="206"/>
      <c r="G41" s="206"/>
      <c r="H41" s="206"/>
      <c r="I41" s="206"/>
      <c r="J41" s="206"/>
      <c r="K41" s="206"/>
    </row>
    <row r="42" ht="13.5" customHeight="1">
      <c r="A42" s="208" t="s">
        <v>297</v>
      </c>
      <c r="B42" s="208" t="s">
        <v>298</v>
      </c>
      <c r="C42" s="209">
        <v>499.84</v>
      </c>
      <c r="D42" s="206"/>
      <c r="E42" s="206"/>
      <c r="F42" s="206"/>
      <c r="G42" s="206"/>
      <c r="H42" s="206"/>
      <c r="I42" s="206"/>
      <c r="J42" s="206"/>
      <c r="K42" s="206"/>
    </row>
    <row r="43" ht="13.5" customHeight="1">
      <c r="A43" s="209" t="s">
        <v>299</v>
      </c>
      <c r="B43" s="209" t="s">
        <v>256</v>
      </c>
      <c r="C43" s="209">
        <v>390.5</v>
      </c>
      <c r="D43" s="206"/>
      <c r="E43" s="206"/>
      <c r="F43" s="206"/>
      <c r="G43" s="206"/>
      <c r="H43" s="206"/>
      <c r="I43" s="206"/>
      <c r="J43" s="206"/>
      <c r="K43" s="206"/>
    </row>
    <row r="44" ht="13.5" customHeight="1">
      <c r="A44" s="209" t="s">
        <v>300</v>
      </c>
      <c r="B44" s="209" t="s">
        <v>256</v>
      </c>
      <c r="C44" s="209">
        <v>624.8</v>
      </c>
      <c r="D44" s="206"/>
      <c r="E44" s="206"/>
      <c r="F44" s="206"/>
      <c r="G44" s="206"/>
      <c r="H44" s="206"/>
      <c r="I44" s="206"/>
      <c r="J44" s="206"/>
      <c r="K44" s="206"/>
    </row>
    <row r="45" ht="13.5" customHeight="1">
      <c r="A45" s="208" t="s">
        <v>301</v>
      </c>
      <c r="B45" s="209" t="s">
        <v>256</v>
      </c>
      <c r="C45" s="210">
        <v>2750.0</v>
      </c>
      <c r="D45" s="206"/>
      <c r="E45" s="206"/>
      <c r="F45" s="206"/>
      <c r="G45" s="206"/>
      <c r="H45" s="206"/>
      <c r="I45" s="206"/>
      <c r="J45" s="206"/>
      <c r="K45" s="206"/>
    </row>
    <row r="46" ht="13.5" customHeight="1">
      <c r="A46" s="209" t="s">
        <v>302</v>
      </c>
      <c r="B46" s="209" t="s">
        <v>256</v>
      </c>
      <c r="C46" s="209">
        <v>624.8</v>
      </c>
      <c r="D46" s="206"/>
      <c r="E46" s="206"/>
      <c r="F46" s="206"/>
      <c r="G46" s="206"/>
      <c r="H46" s="206"/>
      <c r="I46" s="206"/>
      <c r="J46" s="206"/>
      <c r="K46" s="206"/>
    </row>
    <row r="47" ht="13.5" customHeight="1">
      <c r="A47" s="208" t="s">
        <v>303</v>
      </c>
      <c r="B47" s="209" t="s">
        <v>256</v>
      </c>
      <c r="C47" s="210">
        <v>2750.0</v>
      </c>
      <c r="D47" s="206"/>
      <c r="E47" s="206"/>
      <c r="F47" s="206"/>
      <c r="G47" s="206"/>
      <c r="H47" s="206"/>
      <c r="I47" s="206"/>
      <c r="J47" s="206"/>
      <c r="K47" s="206"/>
    </row>
    <row r="48" ht="13.5" customHeight="1">
      <c r="A48" s="209" t="s">
        <v>304</v>
      </c>
      <c r="B48" s="209" t="s">
        <v>256</v>
      </c>
      <c r="C48" s="209">
        <v>620.4</v>
      </c>
      <c r="D48" s="206"/>
      <c r="E48" s="206"/>
      <c r="F48" s="206"/>
      <c r="G48" s="206"/>
      <c r="H48" s="206"/>
      <c r="I48" s="206"/>
      <c r="J48" s="206"/>
      <c r="K48" s="206"/>
    </row>
    <row r="49" ht="13.5" customHeight="1">
      <c r="A49" s="209" t="s">
        <v>305</v>
      </c>
      <c r="B49" s="209" t="s">
        <v>256</v>
      </c>
      <c r="C49" s="209">
        <v>471.9</v>
      </c>
      <c r="D49" s="206"/>
      <c r="E49" s="206"/>
      <c r="F49" s="206"/>
      <c r="G49" s="206"/>
      <c r="H49" s="206"/>
      <c r="I49" s="206"/>
      <c r="J49" s="206"/>
      <c r="K49" s="206"/>
    </row>
    <row r="50" ht="13.5" customHeight="1">
      <c r="A50" s="209" t="s">
        <v>306</v>
      </c>
      <c r="B50" s="209" t="s">
        <v>256</v>
      </c>
      <c r="C50" s="209">
        <v>585.75</v>
      </c>
      <c r="D50" s="206"/>
      <c r="E50" s="206"/>
      <c r="F50" s="206"/>
      <c r="G50" s="206"/>
      <c r="H50" s="206"/>
      <c r="I50" s="206"/>
      <c r="J50" s="206"/>
      <c r="K50" s="206"/>
    </row>
    <row r="51" ht="13.5" customHeight="1">
      <c r="A51" s="208" t="s">
        <v>307</v>
      </c>
      <c r="B51" s="209" t="s">
        <v>256</v>
      </c>
      <c r="C51" s="209">
        <v>624.8</v>
      </c>
      <c r="D51" s="206"/>
      <c r="E51" s="206"/>
      <c r="F51" s="206"/>
      <c r="G51" s="206"/>
      <c r="H51" s="206"/>
      <c r="I51" s="206"/>
      <c r="J51" s="206"/>
      <c r="K51" s="206"/>
    </row>
    <row r="52" ht="13.5" customHeight="1">
      <c r="A52" s="209" t="s">
        <v>308</v>
      </c>
      <c r="B52" s="209" t="s">
        <v>309</v>
      </c>
      <c r="C52" s="209">
        <v>612.85</v>
      </c>
      <c r="D52" s="206"/>
      <c r="E52" s="206"/>
      <c r="F52" s="206"/>
      <c r="G52" s="206"/>
      <c r="H52" s="206"/>
      <c r="I52" s="206"/>
      <c r="J52" s="206"/>
      <c r="K52" s="206"/>
    </row>
    <row r="53" ht="13.5" customHeight="1">
      <c r="A53" s="208" t="s">
        <v>310</v>
      </c>
      <c r="B53" s="209" t="s">
        <v>309</v>
      </c>
      <c r="C53" s="210">
        <v>5504.0</v>
      </c>
      <c r="D53" s="206"/>
      <c r="E53" s="206"/>
      <c r="F53" s="206"/>
      <c r="G53" s="206"/>
      <c r="H53" s="206"/>
      <c r="I53" s="206"/>
      <c r="J53" s="206"/>
      <c r="K53" s="206"/>
    </row>
    <row r="54" ht="13.5" customHeight="1">
      <c r="A54" s="209" t="s">
        <v>311</v>
      </c>
      <c r="B54" s="209" t="s">
        <v>256</v>
      </c>
      <c r="C54" s="209">
        <v>343.75</v>
      </c>
      <c r="D54" s="206"/>
      <c r="E54" s="206"/>
      <c r="F54" s="206"/>
      <c r="G54" s="206"/>
      <c r="H54" s="206"/>
      <c r="I54" s="206"/>
      <c r="J54" s="206"/>
      <c r="K54" s="206"/>
    </row>
    <row r="55" ht="13.5" customHeight="1">
      <c r="A55" s="209" t="s">
        <v>312</v>
      </c>
      <c r="B55" s="209" t="s">
        <v>256</v>
      </c>
      <c r="C55" s="209">
        <v>563.75</v>
      </c>
      <c r="D55" s="206"/>
      <c r="E55" s="206"/>
      <c r="F55" s="206"/>
      <c r="G55" s="206"/>
      <c r="H55" s="206"/>
      <c r="I55" s="206"/>
      <c r="J55" s="206"/>
      <c r="K55" s="206"/>
    </row>
    <row r="56" ht="13.5" customHeight="1">
      <c r="A56" s="209" t="s">
        <v>313</v>
      </c>
      <c r="B56" s="209" t="s">
        <v>256</v>
      </c>
      <c r="C56" s="209">
        <v>404.8</v>
      </c>
      <c r="D56" s="206"/>
      <c r="E56" s="206"/>
      <c r="F56" s="206"/>
      <c r="G56" s="206"/>
      <c r="H56" s="206"/>
      <c r="I56" s="206"/>
      <c r="J56" s="206"/>
      <c r="K56" s="206"/>
    </row>
    <row r="57" ht="13.5" customHeight="1">
      <c r="A57" s="209" t="s">
        <v>314</v>
      </c>
      <c r="B57" s="209" t="s">
        <v>256</v>
      </c>
      <c r="C57" s="209">
        <v>477.95</v>
      </c>
      <c r="D57" s="206"/>
      <c r="E57" s="206"/>
      <c r="F57" s="206"/>
      <c r="G57" s="206"/>
      <c r="H57" s="206"/>
      <c r="I57" s="206"/>
      <c r="J57" s="206"/>
      <c r="K57" s="206"/>
    </row>
    <row r="58" ht="13.5" customHeight="1">
      <c r="A58" s="209" t="s">
        <v>315</v>
      </c>
      <c r="B58" s="209" t="s">
        <v>316</v>
      </c>
      <c r="C58" s="210">
        <v>1075.0</v>
      </c>
      <c r="D58" s="206"/>
      <c r="E58" s="206"/>
      <c r="F58" s="206"/>
      <c r="G58" s="206"/>
      <c r="H58" s="206"/>
      <c r="I58" s="206"/>
      <c r="J58" s="206"/>
      <c r="K58" s="206"/>
    </row>
    <row r="59" ht="13.5" customHeight="1">
      <c r="A59" s="209" t="s">
        <v>317</v>
      </c>
      <c r="B59" s="209" t="s">
        <v>316</v>
      </c>
      <c r="C59" s="210">
        <v>1075.0</v>
      </c>
      <c r="D59" s="206"/>
      <c r="E59" s="206"/>
      <c r="F59" s="206"/>
      <c r="G59" s="206"/>
      <c r="H59" s="206"/>
      <c r="I59" s="206"/>
      <c r="J59" s="206"/>
      <c r="K59" s="206"/>
    </row>
    <row r="60" ht="13.5" customHeight="1">
      <c r="A60" s="209" t="s">
        <v>318</v>
      </c>
      <c r="B60" s="209" t="s">
        <v>316</v>
      </c>
      <c r="C60" s="210">
        <v>1075.0</v>
      </c>
      <c r="D60" s="206"/>
      <c r="E60" s="206"/>
      <c r="F60" s="206"/>
      <c r="G60" s="206"/>
      <c r="H60" s="206"/>
      <c r="I60" s="206"/>
      <c r="J60" s="206"/>
      <c r="K60" s="206"/>
    </row>
    <row r="61" ht="13.5" customHeight="1">
      <c r="A61" s="209" t="s">
        <v>319</v>
      </c>
      <c r="B61" s="209" t="s">
        <v>316</v>
      </c>
      <c r="C61" s="210">
        <v>1075.0</v>
      </c>
      <c r="D61" s="206"/>
      <c r="E61" s="206"/>
      <c r="F61" s="206"/>
      <c r="G61" s="206"/>
      <c r="H61" s="206"/>
      <c r="I61" s="206"/>
      <c r="J61" s="206"/>
      <c r="K61" s="206"/>
    </row>
    <row r="62" ht="13.5" customHeight="1">
      <c r="A62" s="209" t="s">
        <v>320</v>
      </c>
      <c r="B62" s="209" t="s">
        <v>316</v>
      </c>
      <c r="C62" s="209">
        <v>980.0</v>
      </c>
      <c r="D62" s="206"/>
      <c r="E62" s="206"/>
      <c r="F62" s="206"/>
      <c r="G62" s="206"/>
      <c r="H62" s="206"/>
      <c r="I62" s="206"/>
      <c r="J62" s="206"/>
      <c r="K62" s="206"/>
    </row>
    <row r="63" ht="13.5" customHeight="1">
      <c r="A63" s="209" t="s">
        <v>321</v>
      </c>
      <c r="B63" s="209" t="s">
        <v>316</v>
      </c>
      <c r="C63" s="209">
        <v>645.0</v>
      </c>
      <c r="D63" s="206"/>
      <c r="E63" s="206"/>
      <c r="F63" s="206"/>
      <c r="G63" s="206"/>
      <c r="H63" s="206"/>
      <c r="I63" s="206"/>
      <c r="J63" s="206"/>
      <c r="K63" s="206"/>
    </row>
    <row r="64" ht="13.5" customHeight="1">
      <c r="A64" s="209" t="s">
        <v>322</v>
      </c>
      <c r="B64" s="209" t="s">
        <v>316</v>
      </c>
      <c r="C64" s="209">
        <v>980.0</v>
      </c>
      <c r="D64" s="206"/>
      <c r="E64" s="206"/>
      <c r="F64" s="206"/>
      <c r="G64" s="206"/>
      <c r="H64" s="206"/>
      <c r="I64" s="206"/>
      <c r="J64" s="206"/>
      <c r="K64" s="206"/>
    </row>
    <row r="65" ht="13.5" customHeight="1">
      <c r="A65" s="209" t="s">
        <v>323</v>
      </c>
      <c r="B65" s="209" t="s">
        <v>316</v>
      </c>
      <c r="C65" s="210">
        <v>2150.0</v>
      </c>
      <c r="D65" s="206"/>
      <c r="E65" s="206"/>
      <c r="F65" s="206"/>
      <c r="G65" s="206"/>
      <c r="H65" s="206"/>
      <c r="I65" s="206"/>
      <c r="J65" s="206"/>
      <c r="K65" s="206"/>
    </row>
    <row r="66" ht="13.5" customHeight="1">
      <c r="A66" s="209" t="s">
        <v>324</v>
      </c>
      <c r="B66" s="209" t="s">
        <v>316</v>
      </c>
      <c r="C66" s="210">
        <v>1075.0</v>
      </c>
      <c r="D66" s="206"/>
      <c r="E66" s="206"/>
      <c r="F66" s="206"/>
      <c r="G66" s="206"/>
      <c r="H66" s="206"/>
      <c r="I66" s="206"/>
      <c r="J66" s="206"/>
      <c r="K66" s="206"/>
    </row>
    <row r="67" ht="13.5" customHeight="1">
      <c r="A67" s="208" t="s">
        <v>325</v>
      </c>
      <c r="B67" s="209" t="s">
        <v>316</v>
      </c>
      <c r="C67" s="208">
        <v>420.9</v>
      </c>
      <c r="D67" s="206"/>
      <c r="E67" s="206"/>
      <c r="F67" s="206"/>
      <c r="G67" s="206"/>
      <c r="H67" s="206"/>
      <c r="I67" s="206"/>
      <c r="J67" s="206"/>
      <c r="K67" s="206"/>
    </row>
    <row r="68" ht="13.5" customHeight="1">
      <c r="A68" s="208" t="s">
        <v>326</v>
      </c>
      <c r="B68" s="209" t="s">
        <v>316</v>
      </c>
      <c r="C68" s="208">
        <v>206.47</v>
      </c>
      <c r="D68" s="206"/>
      <c r="E68" s="206"/>
      <c r="F68" s="206"/>
      <c r="G68" s="206"/>
      <c r="H68" s="206"/>
      <c r="I68" s="206"/>
      <c r="J68" s="206"/>
      <c r="K68" s="206"/>
    </row>
    <row r="69" ht="13.5" customHeight="1">
      <c r="A69" s="208" t="s">
        <v>327</v>
      </c>
      <c r="B69" s="209" t="s">
        <v>316</v>
      </c>
      <c r="C69" s="208">
        <v>260.04</v>
      </c>
      <c r="D69" s="206"/>
      <c r="E69" s="206"/>
      <c r="F69" s="206"/>
      <c r="G69" s="206"/>
      <c r="H69" s="206"/>
      <c r="I69" s="206"/>
      <c r="J69" s="206"/>
      <c r="K69" s="206"/>
    </row>
    <row r="70" ht="13.5" customHeight="1">
      <c r="A70" s="208" t="s">
        <v>328</v>
      </c>
      <c r="B70" s="209" t="s">
        <v>316</v>
      </c>
      <c r="C70" s="208">
        <v>500.0</v>
      </c>
      <c r="D70" s="206"/>
      <c r="E70" s="206"/>
      <c r="F70" s="206"/>
      <c r="G70" s="206"/>
      <c r="H70" s="206"/>
      <c r="I70" s="206"/>
      <c r="J70" s="206"/>
      <c r="K70" s="206"/>
    </row>
    <row r="71" ht="13.5" customHeight="1">
      <c r="A71" s="208" t="s">
        <v>329</v>
      </c>
      <c r="B71" s="209" t="s">
        <v>316</v>
      </c>
      <c r="C71" s="208">
        <v>4.6</v>
      </c>
      <c r="D71" s="206"/>
      <c r="E71" s="206"/>
      <c r="F71" s="206"/>
      <c r="G71" s="206"/>
      <c r="H71" s="206"/>
      <c r="I71" s="206"/>
      <c r="J71" s="206"/>
      <c r="K71" s="206"/>
    </row>
    <row r="72" ht="13.5" customHeight="1">
      <c r="A72" s="208" t="s">
        <v>330</v>
      </c>
      <c r="B72" s="209" t="s">
        <v>316</v>
      </c>
      <c r="C72" s="208">
        <v>26.27</v>
      </c>
      <c r="D72" s="206"/>
      <c r="E72" s="206"/>
      <c r="F72" s="206"/>
      <c r="G72" s="206"/>
      <c r="H72" s="206"/>
      <c r="I72" s="206"/>
      <c r="J72" s="206"/>
      <c r="K72" s="206"/>
    </row>
    <row r="73" ht="13.5" customHeight="1">
      <c r="A73" s="208" t="s">
        <v>331</v>
      </c>
      <c r="B73" s="209" t="s">
        <v>316</v>
      </c>
      <c r="C73" s="208">
        <v>93.5</v>
      </c>
      <c r="D73" s="206"/>
      <c r="E73" s="206"/>
      <c r="F73" s="206"/>
      <c r="G73" s="206"/>
      <c r="H73" s="206"/>
      <c r="I73" s="206"/>
      <c r="J73" s="206"/>
      <c r="K73" s="206"/>
    </row>
    <row r="74" ht="13.5" customHeight="1">
      <c r="A74" s="208" t="s">
        <v>332</v>
      </c>
      <c r="B74" s="209" t="s">
        <v>316</v>
      </c>
      <c r="C74" s="208">
        <v>183.7</v>
      </c>
      <c r="D74" s="206"/>
      <c r="E74" s="206"/>
      <c r="F74" s="206"/>
      <c r="G74" s="206"/>
      <c r="H74" s="206"/>
      <c r="I74" s="206"/>
      <c r="J74" s="206"/>
      <c r="K74" s="206"/>
    </row>
    <row r="75" ht="13.5" customHeight="1">
      <c r="A75" s="208" t="s">
        <v>333</v>
      </c>
      <c r="B75" s="209" t="s">
        <v>316</v>
      </c>
      <c r="C75" s="208">
        <v>19.8</v>
      </c>
      <c r="D75" s="206"/>
      <c r="E75" s="206"/>
      <c r="F75" s="206"/>
      <c r="G75" s="206"/>
      <c r="H75" s="206"/>
      <c r="I75" s="206"/>
      <c r="J75" s="206"/>
      <c r="K75" s="206"/>
    </row>
    <row r="76" ht="13.5" customHeight="1">
      <c r="A76" s="209" t="s">
        <v>334</v>
      </c>
      <c r="B76" s="209" t="s">
        <v>316</v>
      </c>
      <c r="C76" s="209">
        <v>399.63</v>
      </c>
      <c r="D76" s="206"/>
      <c r="E76" s="206"/>
      <c r="F76" s="206"/>
      <c r="G76" s="206"/>
      <c r="H76" s="206"/>
      <c r="I76" s="206"/>
      <c r="J76" s="206"/>
      <c r="K76" s="206"/>
    </row>
    <row r="77" ht="13.5" customHeight="1">
      <c r="A77" s="208" t="s">
        <v>335</v>
      </c>
      <c r="B77" s="209" t="s">
        <v>336</v>
      </c>
      <c r="C77" s="208">
        <v>499.95</v>
      </c>
      <c r="D77" s="206"/>
      <c r="E77" s="206"/>
      <c r="F77" s="206"/>
      <c r="G77" s="206"/>
      <c r="H77" s="206"/>
      <c r="I77" s="206"/>
      <c r="J77" s="206"/>
      <c r="K77" s="206"/>
    </row>
    <row r="78" ht="13.5" customHeight="1">
      <c r="A78" s="206"/>
      <c r="B78" s="206"/>
      <c r="C78" s="210">
        <v>50158.9</v>
      </c>
      <c r="D78" s="206"/>
      <c r="E78" s="206"/>
      <c r="F78" s="206"/>
      <c r="G78" s="206"/>
      <c r="H78" s="206"/>
      <c r="I78" s="206"/>
      <c r="J78" s="206"/>
      <c r="K78" s="206"/>
    </row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.0"/>
    <col customWidth="1" min="2" max="2" width="51.86"/>
    <col customWidth="1" hidden="1" min="3" max="3" width="19.57"/>
    <col customWidth="1" hidden="1" min="4" max="4" width="17.14"/>
    <col customWidth="1" hidden="1" min="5" max="5" width="13.86"/>
    <col customWidth="1" min="6" max="6" width="16.14"/>
    <col customWidth="1" min="7" max="7" width="20.0"/>
    <col customWidth="1" min="8" max="8" width="21.71"/>
    <col customWidth="1" min="9" max="9" width="22.0"/>
    <col customWidth="1" min="10" max="10" width="20.29"/>
    <col customWidth="1" min="11" max="11" width="26.86"/>
    <col customWidth="1" min="12" max="12" width="32.43"/>
    <col customWidth="1" min="13" max="13" width="32.29"/>
    <col customWidth="1" min="14" max="14" width="16.43"/>
    <col customWidth="1" min="15" max="15" width="14.57"/>
    <col customWidth="1" min="16" max="16" width="19.57"/>
    <col customWidth="1" min="17" max="17" width="16.71"/>
    <col customWidth="1" min="18" max="18" width="17.57"/>
    <col customWidth="1" min="19" max="19" width="14.14"/>
    <col customWidth="1" min="20" max="26" width="18.71"/>
    <col customWidth="1" min="27" max="27" width="25.0"/>
    <col customWidth="1" min="28" max="29" width="18.71"/>
  </cols>
  <sheetData>
    <row r="1" ht="13.5" customHeight="1">
      <c r="A1" s="211"/>
      <c r="B1" s="211"/>
      <c r="C1" s="211"/>
      <c r="D1" s="212"/>
      <c r="E1" s="212"/>
      <c r="F1" s="211"/>
      <c r="G1" s="211"/>
      <c r="H1" s="213"/>
      <c r="I1" s="213"/>
      <c r="J1" s="214"/>
      <c r="K1" s="215"/>
      <c r="L1" s="215"/>
      <c r="M1" s="215"/>
      <c r="N1" s="213"/>
      <c r="O1" s="213"/>
      <c r="P1" s="213"/>
      <c r="Q1" s="213"/>
      <c r="R1" s="215"/>
      <c r="S1" s="215"/>
      <c r="T1" s="216">
        <v>2026.0</v>
      </c>
      <c r="U1" s="217"/>
      <c r="V1" s="217"/>
      <c r="W1" s="217"/>
      <c r="X1" s="217"/>
      <c r="Y1" s="217"/>
      <c r="Z1" s="217"/>
      <c r="AA1" s="217"/>
      <c r="AB1" s="217"/>
      <c r="AC1" s="218"/>
    </row>
    <row r="2" ht="13.5" customHeight="1">
      <c r="A2" s="211"/>
      <c r="B2" s="211"/>
      <c r="C2" s="211"/>
      <c r="D2" s="212"/>
      <c r="E2" s="212"/>
      <c r="F2" s="211"/>
      <c r="G2" s="211"/>
      <c r="H2" s="213"/>
      <c r="I2" s="213"/>
      <c r="J2" s="214"/>
      <c r="K2" s="215"/>
      <c r="L2" s="215"/>
      <c r="M2" s="215"/>
      <c r="N2" s="213"/>
      <c r="O2" s="213"/>
      <c r="P2" s="213"/>
      <c r="Q2" s="213"/>
      <c r="R2" s="215"/>
      <c r="S2" s="213"/>
      <c r="T2" s="219" t="s">
        <v>337</v>
      </c>
      <c r="U2" s="217"/>
      <c r="V2" s="217"/>
      <c r="W2" s="217"/>
      <c r="X2" s="217"/>
      <c r="Y2" s="217"/>
      <c r="Z2" s="217"/>
      <c r="AA2" s="217"/>
      <c r="AB2" s="217"/>
      <c r="AC2" s="220"/>
    </row>
    <row r="3" ht="13.5" customHeight="1">
      <c r="A3" s="221" t="s">
        <v>338</v>
      </c>
      <c r="B3" s="222" t="s">
        <v>190</v>
      </c>
      <c r="C3" s="222" t="s">
        <v>339</v>
      </c>
      <c r="D3" s="223" t="s">
        <v>340</v>
      </c>
      <c r="E3" s="223" t="s">
        <v>341</v>
      </c>
      <c r="F3" s="222" t="s">
        <v>342</v>
      </c>
      <c r="G3" s="221" t="s">
        <v>343</v>
      </c>
      <c r="H3" s="224" t="s">
        <v>344</v>
      </c>
      <c r="I3" s="224" t="s">
        <v>345</v>
      </c>
      <c r="J3" s="225" t="s">
        <v>346</v>
      </c>
      <c r="K3" s="226" t="s">
        <v>347</v>
      </c>
      <c r="L3" s="226" t="s">
        <v>348</v>
      </c>
      <c r="M3" s="224" t="s">
        <v>349</v>
      </c>
      <c r="N3" s="224" t="s">
        <v>350</v>
      </c>
      <c r="O3" s="225" t="s">
        <v>351</v>
      </c>
      <c r="P3" s="225" t="s">
        <v>352</v>
      </c>
      <c r="Q3" s="225" t="s">
        <v>353</v>
      </c>
      <c r="R3" s="226" t="s">
        <v>354</v>
      </c>
      <c r="S3" s="225" t="s">
        <v>355</v>
      </c>
      <c r="T3" s="225" t="s">
        <v>356</v>
      </c>
      <c r="U3" s="225" t="s">
        <v>357</v>
      </c>
      <c r="V3" s="225" t="s">
        <v>358</v>
      </c>
      <c r="W3" s="225" t="s">
        <v>359</v>
      </c>
      <c r="X3" s="225" t="s">
        <v>360</v>
      </c>
      <c r="Y3" s="225" t="s">
        <v>361</v>
      </c>
      <c r="Z3" s="225" t="s">
        <v>362</v>
      </c>
      <c r="AA3" s="226" t="s">
        <v>363</v>
      </c>
      <c r="AB3" s="225" t="s">
        <v>364</v>
      </c>
      <c r="AC3" s="225" t="s">
        <v>365</v>
      </c>
    </row>
    <row r="4" ht="13.5" customHeight="1">
      <c r="A4" s="227">
        <v>1.0</v>
      </c>
      <c r="B4" s="228" t="s">
        <v>196</v>
      </c>
      <c r="C4" s="229" t="s">
        <v>366</v>
      </c>
      <c r="D4" s="230">
        <v>238.0</v>
      </c>
      <c r="E4" s="230">
        <v>708.0</v>
      </c>
      <c r="F4" s="231">
        <v>624.8000000000001</v>
      </c>
      <c r="G4" s="232"/>
      <c r="H4" s="233" t="s">
        <v>367</v>
      </c>
      <c r="I4" s="233" t="s">
        <v>368</v>
      </c>
      <c r="J4" s="234">
        <v>45347.0</v>
      </c>
      <c r="K4" s="233" t="s">
        <v>369</v>
      </c>
      <c r="L4" s="233" t="s">
        <v>370</v>
      </c>
      <c r="M4" s="235" t="str">
        <f t="shared" ref="M4:M186" si="1">IF(R4="", "", IF(R4-TODAY()&gt;365, "Proyectada a futuro", IF(R4-TODAY()&gt;35, "Vigente", IF(R4-TODAY()&gt;=0, "Próxima a vencer", IF(TODAY()-R4&lt;60, "Vencimiento reciente", "Vencida")))))</f>
        <v>Vigente</v>
      </c>
      <c r="N4" s="225"/>
      <c r="O4" s="225"/>
      <c r="P4" s="236"/>
      <c r="Q4" s="237">
        <v>46080.0</v>
      </c>
      <c r="R4" s="237">
        <v>46444.0</v>
      </c>
      <c r="S4" s="236">
        <f>ROUND((R4-Q4)/365,0)</f>
        <v>1</v>
      </c>
      <c r="T4" s="238">
        <v>46023.0</v>
      </c>
      <c r="U4" s="239">
        <v>46035.0</v>
      </c>
      <c r="V4" s="239">
        <v>46035.0</v>
      </c>
      <c r="W4" s="239">
        <v>46038.0</v>
      </c>
      <c r="X4" s="236">
        <f t="shared" ref="X4:X186" si="2">W4-V4</f>
        <v>3</v>
      </c>
      <c r="Y4" s="239">
        <v>46041.0</v>
      </c>
      <c r="Z4" s="236">
        <f t="shared" ref="Z4:Z64" si="3">Y4-W4</f>
        <v>3</v>
      </c>
      <c r="AA4" s="236"/>
      <c r="AB4" s="240" t="s">
        <v>371</v>
      </c>
      <c r="AC4" s="240" t="s">
        <v>371</v>
      </c>
    </row>
    <row r="5" ht="13.5" customHeight="1">
      <c r="A5" s="227">
        <v>2.0</v>
      </c>
      <c r="B5" s="228" t="s">
        <v>197</v>
      </c>
      <c r="C5" s="229" t="s">
        <v>366</v>
      </c>
      <c r="D5" s="230">
        <v>210.0</v>
      </c>
      <c r="E5" s="230">
        <v>738.0</v>
      </c>
      <c r="F5" s="231">
        <v>624.8000000000001</v>
      </c>
      <c r="G5" s="232"/>
      <c r="H5" s="233" t="s">
        <v>372</v>
      </c>
      <c r="I5" s="233" t="s">
        <v>373</v>
      </c>
      <c r="J5" s="241">
        <v>45574.0</v>
      </c>
      <c r="K5" s="233" t="s">
        <v>369</v>
      </c>
      <c r="L5" s="233" t="s">
        <v>370</v>
      </c>
      <c r="M5" s="235" t="str">
        <f t="shared" si="1"/>
        <v>Vigente</v>
      </c>
      <c r="N5" s="236"/>
      <c r="O5" s="236"/>
      <c r="P5" s="236"/>
      <c r="Q5" s="237">
        <v>45940.0</v>
      </c>
      <c r="R5" s="237">
        <v>46304.0</v>
      </c>
      <c r="S5" s="240" t="s">
        <v>374</v>
      </c>
      <c r="T5" s="238">
        <v>46023.0</v>
      </c>
      <c r="U5" s="239">
        <v>46030.0</v>
      </c>
      <c r="V5" s="239">
        <v>46030.0</v>
      </c>
      <c r="W5" s="239">
        <v>46034.0</v>
      </c>
      <c r="X5" s="236">
        <f t="shared" si="2"/>
        <v>4</v>
      </c>
      <c r="Y5" s="239">
        <v>46039.0</v>
      </c>
      <c r="Z5" s="236">
        <f t="shared" si="3"/>
        <v>5</v>
      </c>
      <c r="AA5" s="236"/>
      <c r="AB5" s="236"/>
      <c r="AC5" s="236"/>
    </row>
    <row r="6" ht="13.5" customHeight="1">
      <c r="A6" s="227">
        <v>3.0</v>
      </c>
      <c r="B6" s="228" t="s">
        <v>198</v>
      </c>
      <c r="C6" s="229" t="s">
        <v>366</v>
      </c>
      <c r="D6" s="230">
        <v>205.0</v>
      </c>
      <c r="E6" s="230">
        <v>492.0</v>
      </c>
      <c r="F6" s="231">
        <v>255.94499999999996</v>
      </c>
      <c r="G6" s="232"/>
      <c r="H6" s="233" t="s">
        <v>372</v>
      </c>
      <c r="I6" s="233" t="s">
        <v>375</v>
      </c>
      <c r="J6" s="234" t="s">
        <v>376</v>
      </c>
      <c r="K6" s="233" t="s">
        <v>369</v>
      </c>
      <c r="L6" s="233" t="s">
        <v>370</v>
      </c>
      <c r="M6" s="235" t="str">
        <f t="shared" si="1"/>
        <v>Vencida</v>
      </c>
      <c r="N6" s="236"/>
      <c r="O6" s="236"/>
      <c r="P6" s="236"/>
      <c r="Q6" s="237">
        <v>45755.0</v>
      </c>
      <c r="R6" s="237">
        <v>46119.0</v>
      </c>
      <c r="S6" s="236">
        <f t="shared" ref="S6:S64" si="4">ROUND((R6-Q6)/365,0)</f>
        <v>1</v>
      </c>
      <c r="T6" s="238">
        <v>46054.0</v>
      </c>
      <c r="U6" s="239">
        <v>46063.0</v>
      </c>
      <c r="V6" s="239">
        <v>46063.0</v>
      </c>
      <c r="W6" s="239">
        <v>46067.0</v>
      </c>
      <c r="X6" s="236">
        <f t="shared" si="2"/>
        <v>4</v>
      </c>
      <c r="Y6" s="239">
        <v>46069.0</v>
      </c>
      <c r="Z6" s="236">
        <f t="shared" si="3"/>
        <v>2</v>
      </c>
      <c r="AA6" s="236"/>
      <c r="AB6" s="236"/>
      <c r="AC6" s="236"/>
    </row>
    <row r="7" ht="13.5" customHeight="1">
      <c r="A7" s="227">
        <v>4.0</v>
      </c>
      <c r="B7" s="228" t="s">
        <v>199</v>
      </c>
      <c r="C7" s="229" t="s">
        <v>366</v>
      </c>
      <c r="D7" s="230">
        <v>177.0</v>
      </c>
      <c r="E7" s="230">
        <v>876.0</v>
      </c>
      <c r="F7" s="231">
        <v>567.8</v>
      </c>
      <c r="G7" s="232"/>
      <c r="H7" s="233" t="s">
        <v>372</v>
      </c>
      <c r="I7" s="233" t="s">
        <v>373</v>
      </c>
      <c r="J7" s="234">
        <v>45798.0</v>
      </c>
      <c r="K7" s="233" t="s">
        <v>377</v>
      </c>
      <c r="L7" s="233" t="s">
        <v>370</v>
      </c>
      <c r="M7" s="235" t="str">
        <f t="shared" si="1"/>
        <v/>
      </c>
      <c r="N7" s="236"/>
      <c r="O7" s="236"/>
      <c r="P7" s="236"/>
      <c r="Q7" s="236"/>
      <c r="R7" s="236"/>
      <c r="S7" s="236">
        <f t="shared" si="4"/>
        <v>0</v>
      </c>
      <c r="T7" s="238">
        <v>46054.0</v>
      </c>
      <c r="U7" s="239">
        <v>46095.0</v>
      </c>
      <c r="V7" s="236"/>
      <c r="W7" s="236"/>
      <c r="X7" s="236">
        <f t="shared" si="2"/>
        <v>0</v>
      </c>
      <c r="Y7" s="236"/>
      <c r="Z7" s="236">
        <f t="shared" si="3"/>
        <v>0</v>
      </c>
      <c r="AA7" s="236"/>
      <c r="AB7" s="236"/>
      <c r="AC7" s="236"/>
    </row>
    <row r="8" ht="13.5" customHeight="1">
      <c r="A8" s="227">
        <v>5.0</v>
      </c>
      <c r="B8" s="228" t="s">
        <v>200</v>
      </c>
      <c r="C8" s="229" t="s">
        <v>366</v>
      </c>
      <c r="D8" s="230">
        <v>186.0</v>
      </c>
      <c r="E8" s="230">
        <v>874.0</v>
      </c>
      <c r="F8" s="231">
        <v>623.8000000000001</v>
      </c>
      <c r="G8" s="232"/>
      <c r="H8" s="233" t="s">
        <v>378</v>
      </c>
      <c r="I8" s="233" t="s">
        <v>379</v>
      </c>
      <c r="J8" s="234">
        <v>45814.0</v>
      </c>
      <c r="K8" s="233" t="s">
        <v>377</v>
      </c>
      <c r="L8" s="242"/>
      <c r="M8" s="235" t="str">
        <f t="shared" si="1"/>
        <v/>
      </c>
      <c r="N8" s="236"/>
      <c r="O8" s="236"/>
      <c r="P8" s="236"/>
      <c r="Q8" s="236"/>
      <c r="R8" s="236"/>
      <c r="S8" s="236">
        <f t="shared" si="4"/>
        <v>0</v>
      </c>
      <c r="T8" s="236"/>
      <c r="U8" s="236"/>
      <c r="V8" s="236"/>
      <c r="W8" s="236"/>
      <c r="X8" s="236">
        <f t="shared" si="2"/>
        <v>0</v>
      </c>
      <c r="Y8" s="236"/>
      <c r="Z8" s="236">
        <f t="shared" si="3"/>
        <v>0</v>
      </c>
      <c r="AA8" s="236"/>
      <c r="AB8" s="236"/>
      <c r="AC8" s="236"/>
    </row>
    <row r="9" ht="13.5" customHeight="1">
      <c r="A9" s="227">
        <v>6.0</v>
      </c>
      <c r="B9" s="228" t="s">
        <v>201</v>
      </c>
      <c r="C9" s="229" t="s">
        <v>366</v>
      </c>
      <c r="D9" s="230">
        <v>146.0</v>
      </c>
      <c r="E9" s="230">
        <v>703.0</v>
      </c>
      <c r="F9" s="231">
        <v>624.9</v>
      </c>
      <c r="G9" s="232"/>
      <c r="H9" s="233" t="s">
        <v>367</v>
      </c>
      <c r="I9" s="233" t="s">
        <v>368</v>
      </c>
      <c r="J9" s="234">
        <v>45579.0</v>
      </c>
      <c r="K9" s="233" t="s">
        <v>369</v>
      </c>
      <c r="L9" s="233" t="s">
        <v>370</v>
      </c>
      <c r="M9" s="235" t="str">
        <f t="shared" si="1"/>
        <v>Próxima a vencer</v>
      </c>
      <c r="N9" s="236"/>
      <c r="O9" s="236"/>
      <c r="P9" s="236"/>
      <c r="Q9" s="237">
        <v>45833.0</v>
      </c>
      <c r="R9" s="237">
        <v>46197.0</v>
      </c>
      <c r="S9" s="236">
        <f t="shared" si="4"/>
        <v>1</v>
      </c>
      <c r="T9" s="238">
        <v>45992.0</v>
      </c>
      <c r="U9" s="243">
        <v>46010.0</v>
      </c>
      <c r="V9" s="243">
        <v>46010.0</v>
      </c>
      <c r="W9" s="243">
        <v>46013.0</v>
      </c>
      <c r="X9" s="236">
        <f t="shared" si="2"/>
        <v>3</v>
      </c>
      <c r="Y9" s="243">
        <v>46017.0</v>
      </c>
      <c r="Z9" s="236">
        <f t="shared" si="3"/>
        <v>4</v>
      </c>
      <c r="AA9" s="236"/>
      <c r="AB9" s="236"/>
      <c r="AC9" s="236"/>
    </row>
    <row r="10" ht="13.5" customHeight="1">
      <c r="A10" s="227">
        <v>7.0</v>
      </c>
      <c r="B10" s="228" t="s">
        <v>202</v>
      </c>
      <c r="C10" s="229" t="s">
        <v>366</v>
      </c>
      <c r="D10" s="230">
        <v>214.0</v>
      </c>
      <c r="E10" s="230">
        <v>711.0</v>
      </c>
      <c r="F10" s="231">
        <v>494.94</v>
      </c>
      <c r="G10" s="232"/>
      <c r="H10" s="233" t="s">
        <v>372</v>
      </c>
      <c r="I10" s="233" t="s">
        <v>375</v>
      </c>
      <c r="J10" s="234">
        <v>45610.0</v>
      </c>
      <c r="K10" s="233" t="s">
        <v>369</v>
      </c>
      <c r="L10" s="233" t="s">
        <v>370</v>
      </c>
      <c r="M10" s="235" t="str">
        <f t="shared" si="1"/>
        <v>Vencida</v>
      </c>
      <c r="N10" s="236"/>
      <c r="O10" s="236"/>
      <c r="P10" s="236"/>
      <c r="Q10" s="237">
        <v>45706.0</v>
      </c>
      <c r="R10" s="237">
        <v>46070.0</v>
      </c>
      <c r="S10" s="236">
        <f t="shared" si="4"/>
        <v>1</v>
      </c>
      <c r="T10" s="238">
        <v>46054.0</v>
      </c>
      <c r="U10" s="239">
        <v>46080.0</v>
      </c>
      <c r="V10" s="239">
        <v>46080.0</v>
      </c>
      <c r="W10" s="239">
        <v>46085.0</v>
      </c>
      <c r="X10" s="236">
        <f t="shared" si="2"/>
        <v>5</v>
      </c>
      <c r="Y10" s="239">
        <v>46090.0</v>
      </c>
      <c r="Z10" s="236">
        <f t="shared" si="3"/>
        <v>5</v>
      </c>
      <c r="AA10" s="236"/>
      <c r="AB10" s="236"/>
      <c r="AC10" s="236"/>
    </row>
    <row r="11" ht="13.5" customHeight="1">
      <c r="A11" s="227">
        <v>8.0</v>
      </c>
      <c r="B11" s="228" t="s">
        <v>203</v>
      </c>
      <c r="C11" s="229" t="s">
        <v>366</v>
      </c>
      <c r="D11" s="230">
        <v>208.0</v>
      </c>
      <c r="E11" s="230">
        <v>709.0</v>
      </c>
      <c r="F11" s="231">
        <v>386.5</v>
      </c>
      <c r="G11" s="232"/>
      <c r="H11" s="233" t="s">
        <v>372</v>
      </c>
      <c r="I11" s="233" t="s">
        <v>375</v>
      </c>
      <c r="J11" s="234">
        <v>45607.0</v>
      </c>
      <c r="K11" s="233"/>
      <c r="L11" s="233" t="s">
        <v>370</v>
      </c>
      <c r="M11" s="235" t="str">
        <f t="shared" si="1"/>
        <v>Próxima a vencer</v>
      </c>
      <c r="N11" s="236"/>
      <c r="O11" s="236"/>
      <c r="P11" s="236"/>
      <c r="Q11" s="237">
        <v>45833.0</v>
      </c>
      <c r="R11" s="237">
        <v>46197.0</v>
      </c>
      <c r="S11" s="236">
        <f t="shared" si="4"/>
        <v>1</v>
      </c>
      <c r="T11" s="238">
        <v>46054.0</v>
      </c>
      <c r="U11" s="239">
        <v>46063.0</v>
      </c>
      <c r="V11" s="239">
        <v>46063.0</v>
      </c>
      <c r="W11" s="239">
        <v>46066.0</v>
      </c>
      <c r="X11" s="236">
        <f t="shared" si="2"/>
        <v>3</v>
      </c>
      <c r="Y11" s="239">
        <v>46070.0</v>
      </c>
      <c r="Z11" s="236">
        <f t="shared" si="3"/>
        <v>4</v>
      </c>
      <c r="AA11" s="236"/>
      <c r="AB11" s="236"/>
      <c r="AC11" s="236"/>
    </row>
    <row r="12" ht="13.5" customHeight="1">
      <c r="A12" s="227">
        <v>9.0</v>
      </c>
      <c r="B12" s="228" t="s">
        <v>204</v>
      </c>
      <c r="C12" s="229" t="s">
        <v>366</v>
      </c>
      <c r="D12" s="230">
        <v>173.0</v>
      </c>
      <c r="E12" s="244"/>
      <c r="F12" s="231">
        <v>554.3000000000001</v>
      </c>
      <c r="G12" s="232"/>
      <c r="H12" s="233" t="s">
        <v>378</v>
      </c>
      <c r="I12" s="233" t="s">
        <v>379</v>
      </c>
      <c r="J12" s="234">
        <v>46053.0</v>
      </c>
      <c r="K12" s="233"/>
      <c r="L12" s="233" t="s">
        <v>380</v>
      </c>
      <c r="M12" s="235" t="str">
        <f t="shared" si="1"/>
        <v/>
      </c>
      <c r="N12" s="236"/>
      <c r="O12" s="236"/>
      <c r="P12" s="236"/>
      <c r="Q12" s="236"/>
      <c r="R12" s="236"/>
      <c r="S12" s="236">
        <f t="shared" si="4"/>
        <v>0</v>
      </c>
      <c r="T12" s="236"/>
      <c r="U12" s="236"/>
      <c r="V12" s="236"/>
      <c r="W12" s="236"/>
      <c r="X12" s="236">
        <f t="shared" si="2"/>
        <v>0</v>
      </c>
      <c r="Y12" s="236"/>
      <c r="Z12" s="236">
        <f t="shared" si="3"/>
        <v>0</v>
      </c>
      <c r="AA12" s="236"/>
      <c r="AB12" s="236"/>
      <c r="AC12" s="236"/>
    </row>
    <row r="13" ht="13.5" customHeight="1">
      <c r="A13" s="227">
        <v>10.0</v>
      </c>
      <c r="B13" s="228" t="s">
        <v>205</v>
      </c>
      <c r="C13" s="229" t="s">
        <v>366</v>
      </c>
      <c r="D13" s="230">
        <v>244.0</v>
      </c>
      <c r="E13" s="230">
        <v>710.0</v>
      </c>
      <c r="F13" s="231">
        <v>624.9</v>
      </c>
      <c r="G13" s="232"/>
      <c r="H13" s="233" t="s">
        <v>372</v>
      </c>
      <c r="I13" s="233" t="s">
        <v>381</v>
      </c>
      <c r="J13" s="234">
        <v>45658.0</v>
      </c>
      <c r="K13" s="233" t="s">
        <v>369</v>
      </c>
      <c r="L13" s="233" t="s">
        <v>370</v>
      </c>
      <c r="M13" s="235" t="str">
        <f t="shared" si="1"/>
        <v>Próxima a vencer</v>
      </c>
      <c r="N13" s="236"/>
      <c r="O13" s="236"/>
      <c r="P13" s="236"/>
      <c r="Q13" s="237">
        <v>45833.0</v>
      </c>
      <c r="R13" s="237">
        <v>46197.0</v>
      </c>
      <c r="S13" s="236">
        <f t="shared" si="4"/>
        <v>1</v>
      </c>
      <c r="T13" s="238">
        <v>46082.0</v>
      </c>
      <c r="U13" s="239">
        <v>46083.0</v>
      </c>
      <c r="V13" s="239">
        <v>46083.0</v>
      </c>
      <c r="W13" s="239">
        <v>46087.0</v>
      </c>
      <c r="X13" s="236">
        <f t="shared" si="2"/>
        <v>4</v>
      </c>
      <c r="Y13" s="239">
        <v>46090.0</v>
      </c>
      <c r="Z13" s="236">
        <f t="shared" si="3"/>
        <v>3</v>
      </c>
      <c r="AA13" s="236"/>
      <c r="AB13" s="236"/>
      <c r="AC13" s="236"/>
    </row>
    <row r="14" ht="13.5" customHeight="1">
      <c r="A14" s="227">
        <v>11.0</v>
      </c>
      <c r="B14" s="228" t="s">
        <v>206</v>
      </c>
      <c r="C14" s="229" t="s">
        <v>366</v>
      </c>
      <c r="D14" s="230">
        <v>138.0</v>
      </c>
      <c r="E14" s="244"/>
      <c r="F14" s="231">
        <v>561.61</v>
      </c>
      <c r="G14" s="232"/>
      <c r="H14" s="233" t="s">
        <v>372</v>
      </c>
      <c r="I14" s="233" t="s">
        <v>381</v>
      </c>
      <c r="J14" s="240" t="s">
        <v>382</v>
      </c>
      <c r="K14" s="233" t="s">
        <v>383</v>
      </c>
      <c r="L14" s="233" t="s">
        <v>384</v>
      </c>
      <c r="M14" s="235" t="str">
        <f t="shared" si="1"/>
        <v/>
      </c>
      <c r="N14" s="236"/>
      <c r="O14" s="236"/>
      <c r="P14" s="236"/>
      <c r="Q14" s="236"/>
      <c r="R14" s="236"/>
      <c r="S14" s="236">
        <f t="shared" si="4"/>
        <v>0</v>
      </c>
      <c r="T14" s="236"/>
      <c r="U14" s="236"/>
      <c r="V14" s="236"/>
      <c r="W14" s="236"/>
      <c r="X14" s="236">
        <f t="shared" si="2"/>
        <v>0</v>
      </c>
      <c r="Y14" s="236"/>
      <c r="Z14" s="236">
        <f t="shared" si="3"/>
        <v>0</v>
      </c>
      <c r="AA14" s="236"/>
      <c r="AB14" s="236"/>
      <c r="AC14" s="236"/>
    </row>
    <row r="15" ht="13.5" customHeight="1">
      <c r="A15" s="227">
        <v>12.0</v>
      </c>
      <c r="B15" s="228" t="s">
        <v>207</v>
      </c>
      <c r="C15" s="229" t="s">
        <v>366</v>
      </c>
      <c r="D15" s="230">
        <v>149.0</v>
      </c>
      <c r="E15" s="245">
        <v>879.0</v>
      </c>
      <c r="F15" s="231">
        <v>624.8000000000001</v>
      </c>
      <c r="G15" s="232"/>
      <c r="H15" s="233" t="s">
        <v>378</v>
      </c>
      <c r="I15" s="233" t="s">
        <v>379</v>
      </c>
      <c r="J15" s="234">
        <v>45900.0</v>
      </c>
      <c r="K15" s="233" t="s">
        <v>383</v>
      </c>
      <c r="L15" s="233" t="s">
        <v>384</v>
      </c>
      <c r="M15" s="235" t="str">
        <f t="shared" si="1"/>
        <v/>
      </c>
      <c r="N15" s="236"/>
      <c r="O15" s="236"/>
      <c r="P15" s="236"/>
      <c r="Q15" s="236"/>
      <c r="R15" s="236"/>
      <c r="S15" s="236">
        <f t="shared" si="4"/>
        <v>0</v>
      </c>
      <c r="T15" s="236"/>
      <c r="U15" s="236"/>
      <c r="V15" s="236"/>
      <c r="W15" s="236"/>
      <c r="X15" s="236">
        <f t="shared" si="2"/>
        <v>0</v>
      </c>
      <c r="Y15" s="236"/>
      <c r="Z15" s="236">
        <f t="shared" si="3"/>
        <v>0</v>
      </c>
      <c r="AA15" s="236"/>
      <c r="AB15" s="236"/>
      <c r="AC15" s="236"/>
    </row>
    <row r="16" ht="13.5" customHeight="1">
      <c r="A16" s="227">
        <v>13.0</v>
      </c>
      <c r="B16" s="228" t="s">
        <v>208</v>
      </c>
      <c r="C16" s="229" t="s">
        <v>366</v>
      </c>
      <c r="D16" s="246"/>
      <c r="E16" s="246"/>
      <c r="F16" s="231">
        <v>624.8000000000001</v>
      </c>
      <c r="G16" s="232"/>
      <c r="H16" s="233" t="s">
        <v>378</v>
      </c>
      <c r="I16" s="233" t="s">
        <v>379</v>
      </c>
      <c r="J16" s="240" t="s">
        <v>382</v>
      </c>
      <c r="K16" s="233" t="s">
        <v>383</v>
      </c>
      <c r="L16" s="233" t="s">
        <v>384</v>
      </c>
      <c r="M16" s="235" t="str">
        <f t="shared" si="1"/>
        <v/>
      </c>
      <c r="N16" s="236"/>
      <c r="O16" s="236"/>
      <c r="P16" s="236"/>
      <c r="Q16" s="236"/>
      <c r="R16" s="236"/>
      <c r="S16" s="236">
        <f t="shared" si="4"/>
        <v>0</v>
      </c>
      <c r="T16" s="236"/>
      <c r="U16" s="236"/>
      <c r="V16" s="236"/>
      <c r="W16" s="236"/>
      <c r="X16" s="236">
        <f t="shared" si="2"/>
        <v>0</v>
      </c>
      <c r="Y16" s="236"/>
      <c r="Z16" s="236">
        <f t="shared" si="3"/>
        <v>0</v>
      </c>
      <c r="AA16" s="236"/>
      <c r="AB16" s="236"/>
      <c r="AC16" s="236"/>
    </row>
    <row r="17" ht="13.5" customHeight="1">
      <c r="A17" s="227">
        <v>14.0</v>
      </c>
      <c r="B17" s="228" t="s">
        <v>209</v>
      </c>
      <c r="C17" s="229" t="s">
        <v>366</v>
      </c>
      <c r="D17" s="230">
        <v>164.0</v>
      </c>
      <c r="E17" s="244"/>
      <c r="F17" s="231">
        <v>624.9</v>
      </c>
      <c r="G17" s="232"/>
      <c r="H17" s="233" t="s">
        <v>378</v>
      </c>
      <c r="I17" s="233" t="s">
        <v>379</v>
      </c>
      <c r="J17" s="234">
        <v>46047.0</v>
      </c>
      <c r="K17" s="233" t="s">
        <v>383</v>
      </c>
      <c r="L17" s="233" t="s">
        <v>384</v>
      </c>
      <c r="M17" s="235" t="str">
        <f t="shared" si="1"/>
        <v/>
      </c>
      <c r="N17" s="236"/>
      <c r="O17" s="236"/>
      <c r="P17" s="236"/>
      <c r="Q17" s="236"/>
      <c r="R17" s="236"/>
      <c r="S17" s="236">
        <f t="shared" si="4"/>
        <v>0</v>
      </c>
      <c r="T17" s="236"/>
      <c r="U17" s="236"/>
      <c r="V17" s="236"/>
      <c r="W17" s="236"/>
      <c r="X17" s="236">
        <f t="shared" si="2"/>
        <v>0</v>
      </c>
      <c r="Y17" s="236"/>
      <c r="Z17" s="236">
        <f t="shared" si="3"/>
        <v>0</v>
      </c>
      <c r="AA17" s="236"/>
      <c r="AB17" s="236"/>
      <c r="AC17" s="236"/>
    </row>
    <row r="18" ht="13.5" customHeight="1">
      <c r="A18" s="227">
        <v>15.0</v>
      </c>
      <c r="B18" s="228" t="s">
        <v>210</v>
      </c>
      <c r="C18" s="229" t="s">
        <v>366</v>
      </c>
      <c r="D18" s="230">
        <v>658.0</v>
      </c>
      <c r="E18" s="230">
        <v>739.0</v>
      </c>
      <c r="F18" s="231">
        <v>299.8</v>
      </c>
      <c r="G18" s="232"/>
      <c r="H18" s="233" t="s">
        <v>372</v>
      </c>
      <c r="I18" s="233" t="s">
        <v>373</v>
      </c>
      <c r="J18" s="234">
        <v>45630.0</v>
      </c>
      <c r="K18" s="233" t="s">
        <v>369</v>
      </c>
      <c r="L18" s="233" t="s">
        <v>370</v>
      </c>
      <c r="M18" s="235" t="str">
        <f t="shared" si="1"/>
        <v>Vigente</v>
      </c>
      <c r="N18" s="236"/>
      <c r="O18" s="236"/>
      <c r="P18" s="236"/>
      <c r="Q18" s="237">
        <v>45995.0</v>
      </c>
      <c r="R18" s="237">
        <v>46359.0</v>
      </c>
      <c r="S18" s="236">
        <f t="shared" si="4"/>
        <v>1</v>
      </c>
      <c r="T18" s="238">
        <v>46023.0</v>
      </c>
      <c r="U18" s="239">
        <v>46035.0</v>
      </c>
      <c r="V18" s="239">
        <v>46035.0</v>
      </c>
      <c r="W18" s="239">
        <v>46036.0</v>
      </c>
      <c r="X18" s="236">
        <f t="shared" si="2"/>
        <v>1</v>
      </c>
      <c r="Y18" s="239">
        <v>46042.0</v>
      </c>
      <c r="Z18" s="236">
        <f t="shared" si="3"/>
        <v>6</v>
      </c>
      <c r="AA18" s="236"/>
      <c r="AB18" s="236"/>
      <c r="AC18" s="236"/>
    </row>
    <row r="19" ht="13.5" customHeight="1">
      <c r="A19" s="227">
        <v>16.0</v>
      </c>
      <c r="B19" s="228" t="s">
        <v>211</v>
      </c>
      <c r="C19" s="229" t="s">
        <v>366</v>
      </c>
      <c r="D19" s="230">
        <v>569.0</v>
      </c>
      <c r="E19" s="230">
        <v>875.0</v>
      </c>
      <c r="F19" s="231">
        <v>624.8000000000001</v>
      </c>
      <c r="G19" s="232"/>
      <c r="H19" s="233" t="s">
        <v>372</v>
      </c>
      <c r="I19" s="233" t="s">
        <v>381</v>
      </c>
      <c r="J19" s="234">
        <v>45776.0</v>
      </c>
      <c r="K19" s="233" t="s">
        <v>369</v>
      </c>
      <c r="L19" s="233" t="s">
        <v>384</v>
      </c>
      <c r="M19" s="235" t="str">
        <f t="shared" si="1"/>
        <v/>
      </c>
      <c r="N19" s="236"/>
      <c r="O19" s="236"/>
      <c r="P19" s="236"/>
      <c r="Q19" s="236"/>
      <c r="R19" s="236"/>
      <c r="S19" s="236">
        <f t="shared" si="4"/>
        <v>0</v>
      </c>
      <c r="T19" s="238">
        <v>46054.0</v>
      </c>
      <c r="U19" s="239">
        <v>46063.0</v>
      </c>
      <c r="V19" s="239">
        <v>46063.0</v>
      </c>
      <c r="W19" s="239">
        <v>46066.0</v>
      </c>
      <c r="X19" s="236">
        <f t="shared" si="2"/>
        <v>3</v>
      </c>
      <c r="Y19" s="239">
        <v>46068.0</v>
      </c>
      <c r="Z19" s="236">
        <f t="shared" si="3"/>
        <v>2</v>
      </c>
      <c r="AA19" s="236"/>
      <c r="AB19" s="236"/>
      <c r="AC19" s="236"/>
    </row>
    <row r="20" ht="13.5" customHeight="1">
      <c r="A20" s="227">
        <v>17.0</v>
      </c>
      <c r="B20" s="228" t="s">
        <v>212</v>
      </c>
      <c r="C20" s="229" t="s">
        <v>366</v>
      </c>
      <c r="D20" s="230">
        <v>665.0</v>
      </c>
      <c r="E20" s="230">
        <v>891.0</v>
      </c>
      <c r="F20" s="231">
        <v>489.0</v>
      </c>
      <c r="G20" s="232"/>
      <c r="H20" s="233" t="s">
        <v>372</v>
      </c>
      <c r="I20" s="233" t="s">
        <v>381</v>
      </c>
      <c r="J20" s="234">
        <v>45850.0</v>
      </c>
      <c r="K20" s="233" t="s">
        <v>369</v>
      </c>
      <c r="L20" s="233" t="s">
        <v>384</v>
      </c>
      <c r="M20" s="235" t="str">
        <f t="shared" si="1"/>
        <v>Vigente</v>
      </c>
      <c r="N20" s="236"/>
      <c r="O20" s="236"/>
      <c r="P20" s="236"/>
      <c r="Q20" s="237">
        <v>46049.0</v>
      </c>
      <c r="R20" s="237">
        <v>46413.0</v>
      </c>
      <c r="S20" s="236">
        <f t="shared" si="4"/>
        <v>1</v>
      </c>
      <c r="T20" s="238">
        <v>46023.0</v>
      </c>
      <c r="U20" s="239">
        <v>46045.0</v>
      </c>
      <c r="V20" s="239">
        <v>46045.0</v>
      </c>
      <c r="W20" s="239">
        <v>46048.0</v>
      </c>
      <c r="X20" s="236">
        <f t="shared" si="2"/>
        <v>3</v>
      </c>
      <c r="Y20" s="239">
        <v>46051.0</v>
      </c>
      <c r="Z20" s="236">
        <f t="shared" si="3"/>
        <v>3</v>
      </c>
      <c r="AA20" s="236"/>
      <c r="AB20" s="236"/>
      <c r="AC20" s="236"/>
    </row>
    <row r="21" ht="13.5" customHeight="1">
      <c r="A21" s="227">
        <v>18.0</v>
      </c>
      <c r="B21" s="228" t="s">
        <v>213</v>
      </c>
      <c r="C21" s="229" t="s">
        <v>366</v>
      </c>
      <c r="D21" s="230">
        <v>671.0</v>
      </c>
      <c r="E21" s="230">
        <v>892.0</v>
      </c>
      <c r="F21" s="231">
        <v>621.0</v>
      </c>
      <c r="G21" s="232"/>
      <c r="H21" s="233" t="s">
        <v>372</v>
      </c>
      <c r="I21" s="233" t="s">
        <v>381</v>
      </c>
      <c r="J21" s="234">
        <v>45936.0</v>
      </c>
      <c r="K21" s="233" t="s">
        <v>369</v>
      </c>
      <c r="L21" s="233" t="s">
        <v>384</v>
      </c>
      <c r="M21" s="235" t="str">
        <f t="shared" si="1"/>
        <v/>
      </c>
      <c r="N21" s="236"/>
      <c r="O21" s="236"/>
      <c r="P21" s="236"/>
      <c r="Q21" s="236"/>
      <c r="R21" s="236"/>
      <c r="S21" s="236">
        <f t="shared" si="4"/>
        <v>0</v>
      </c>
      <c r="T21" s="238">
        <v>46023.0</v>
      </c>
      <c r="U21" s="239">
        <v>46048.0</v>
      </c>
      <c r="V21" s="239">
        <v>46048.0</v>
      </c>
      <c r="W21" s="239">
        <v>46052.0</v>
      </c>
      <c r="X21" s="236">
        <f t="shared" si="2"/>
        <v>4</v>
      </c>
      <c r="Y21" s="239">
        <v>46055.0</v>
      </c>
      <c r="Z21" s="236">
        <f t="shared" si="3"/>
        <v>3</v>
      </c>
      <c r="AA21" s="236"/>
      <c r="AB21" s="236"/>
      <c r="AC21" s="236"/>
    </row>
    <row r="22" ht="13.5" hidden="1" customHeight="1">
      <c r="A22" s="227">
        <v>19.0</v>
      </c>
      <c r="B22" s="247" t="s">
        <v>214</v>
      </c>
      <c r="C22" s="227" t="s">
        <v>366</v>
      </c>
      <c r="D22" s="248"/>
      <c r="E22" s="248"/>
      <c r="F22" s="232"/>
      <c r="G22" s="232">
        <v>500.0</v>
      </c>
      <c r="H22" s="233" t="s">
        <v>372</v>
      </c>
      <c r="I22" s="233" t="s">
        <v>381</v>
      </c>
      <c r="J22" s="249">
        <v>46051.0</v>
      </c>
      <c r="K22" s="233" t="s">
        <v>369</v>
      </c>
      <c r="L22" s="233" t="s">
        <v>384</v>
      </c>
      <c r="M22" s="235" t="str">
        <f t="shared" si="1"/>
        <v/>
      </c>
      <c r="N22" s="236"/>
      <c r="O22" s="236"/>
      <c r="P22" s="236"/>
      <c r="Q22" s="236"/>
      <c r="R22" s="236"/>
      <c r="S22" s="236">
        <f t="shared" si="4"/>
        <v>0</v>
      </c>
      <c r="T22" s="236"/>
      <c r="U22" s="236"/>
      <c r="V22" s="236"/>
      <c r="W22" s="236"/>
      <c r="X22" s="236">
        <f t="shared" si="2"/>
        <v>0</v>
      </c>
      <c r="Y22" s="236"/>
      <c r="Z22" s="236">
        <f t="shared" si="3"/>
        <v>0</v>
      </c>
      <c r="AA22" s="236"/>
      <c r="AB22" s="236"/>
      <c r="AC22" s="236"/>
    </row>
    <row r="23" ht="13.5" hidden="1" customHeight="1">
      <c r="A23" s="227">
        <v>20.0</v>
      </c>
      <c r="B23" s="247" t="s">
        <v>215</v>
      </c>
      <c r="C23" s="227" t="s">
        <v>366</v>
      </c>
      <c r="D23" s="250">
        <v>870.0</v>
      </c>
      <c r="E23" s="251"/>
      <c r="F23" s="232"/>
      <c r="G23" s="232">
        <v>3130.0</v>
      </c>
      <c r="H23" s="233" t="s">
        <v>385</v>
      </c>
      <c r="I23" s="233" t="s">
        <v>386</v>
      </c>
      <c r="J23" s="252">
        <v>46136.0</v>
      </c>
      <c r="K23" s="233" t="s">
        <v>369</v>
      </c>
      <c r="L23" s="233" t="s">
        <v>384</v>
      </c>
      <c r="M23" s="235" t="str">
        <f t="shared" si="1"/>
        <v/>
      </c>
      <c r="N23" s="236"/>
      <c r="O23" s="236"/>
      <c r="P23" s="236"/>
      <c r="Q23" s="236"/>
      <c r="R23" s="236"/>
      <c r="S23" s="236">
        <f t="shared" si="4"/>
        <v>0</v>
      </c>
      <c r="T23" s="236"/>
      <c r="U23" s="236"/>
      <c r="V23" s="236"/>
      <c r="W23" s="236"/>
      <c r="X23" s="236">
        <f t="shared" si="2"/>
        <v>0</v>
      </c>
      <c r="Y23" s="236"/>
      <c r="Z23" s="236">
        <f t="shared" si="3"/>
        <v>0</v>
      </c>
      <c r="AA23" s="236"/>
      <c r="AB23" s="236"/>
      <c r="AC23" s="236"/>
    </row>
    <row r="24" ht="13.5" hidden="1" customHeight="1">
      <c r="A24" s="227">
        <v>21.0</v>
      </c>
      <c r="B24" s="247" t="s">
        <v>216</v>
      </c>
      <c r="C24" s="227" t="s">
        <v>366</v>
      </c>
      <c r="D24" s="248"/>
      <c r="E24" s="248"/>
      <c r="F24" s="232"/>
      <c r="G24" s="232">
        <v>2556.0</v>
      </c>
      <c r="H24" s="233" t="s">
        <v>385</v>
      </c>
      <c r="I24" s="233" t="s">
        <v>386</v>
      </c>
      <c r="J24" s="240" t="s">
        <v>382</v>
      </c>
      <c r="K24" s="233"/>
      <c r="L24" s="242"/>
      <c r="M24" s="235" t="str">
        <f t="shared" si="1"/>
        <v/>
      </c>
      <c r="N24" s="236"/>
      <c r="O24" s="236"/>
      <c r="P24" s="236"/>
      <c r="Q24" s="236"/>
      <c r="R24" s="236"/>
      <c r="S24" s="236">
        <f t="shared" si="4"/>
        <v>0</v>
      </c>
      <c r="T24" s="236"/>
      <c r="U24" s="236"/>
      <c r="V24" s="236"/>
      <c r="W24" s="236"/>
      <c r="X24" s="236">
        <f t="shared" si="2"/>
        <v>0</v>
      </c>
      <c r="Y24" s="236"/>
      <c r="Z24" s="236">
        <f t="shared" si="3"/>
        <v>0</v>
      </c>
      <c r="AA24" s="236"/>
      <c r="AB24" s="236"/>
      <c r="AC24" s="236"/>
    </row>
    <row r="25" ht="13.5" hidden="1" customHeight="1">
      <c r="A25" s="227">
        <v>22.0</v>
      </c>
      <c r="B25" s="247" t="s">
        <v>217</v>
      </c>
      <c r="C25" s="227" t="s">
        <v>366</v>
      </c>
      <c r="D25" s="250">
        <v>560.0</v>
      </c>
      <c r="E25" s="251"/>
      <c r="F25" s="232"/>
      <c r="G25" s="232">
        <v>1000.0</v>
      </c>
      <c r="H25" s="233" t="s">
        <v>385</v>
      </c>
      <c r="I25" s="233" t="s">
        <v>386</v>
      </c>
      <c r="J25" s="240" t="s">
        <v>382</v>
      </c>
      <c r="K25" s="233"/>
      <c r="L25" s="242"/>
      <c r="M25" s="235" t="str">
        <f t="shared" si="1"/>
        <v/>
      </c>
      <c r="N25" s="236"/>
      <c r="O25" s="236"/>
      <c r="P25" s="236"/>
      <c r="Q25" s="236"/>
      <c r="R25" s="236"/>
      <c r="S25" s="236">
        <f t="shared" si="4"/>
        <v>0</v>
      </c>
      <c r="T25" s="236"/>
      <c r="U25" s="236"/>
      <c r="V25" s="236"/>
      <c r="W25" s="236"/>
      <c r="X25" s="236">
        <f t="shared" si="2"/>
        <v>0</v>
      </c>
      <c r="Y25" s="236"/>
      <c r="Z25" s="236">
        <f t="shared" si="3"/>
        <v>0</v>
      </c>
      <c r="AA25" s="236"/>
      <c r="AB25" s="236"/>
      <c r="AC25" s="236"/>
    </row>
    <row r="26" ht="13.5" hidden="1" customHeight="1">
      <c r="A26" s="227">
        <v>23.0</v>
      </c>
      <c r="B26" s="247" t="s">
        <v>218</v>
      </c>
      <c r="C26" s="227" t="s">
        <v>366</v>
      </c>
      <c r="D26" s="250">
        <v>561.0</v>
      </c>
      <c r="E26" s="251"/>
      <c r="F26" s="232"/>
      <c r="G26" s="232">
        <v>1000.0</v>
      </c>
      <c r="H26" s="233" t="s">
        <v>385</v>
      </c>
      <c r="I26" s="233" t="s">
        <v>386</v>
      </c>
      <c r="J26" s="240" t="s">
        <v>382</v>
      </c>
      <c r="K26" s="233"/>
      <c r="L26" s="242"/>
      <c r="M26" s="235" t="str">
        <f t="shared" si="1"/>
        <v/>
      </c>
      <c r="N26" s="236"/>
      <c r="O26" s="236"/>
      <c r="P26" s="236"/>
      <c r="Q26" s="236"/>
      <c r="R26" s="236"/>
      <c r="S26" s="236">
        <f t="shared" si="4"/>
        <v>0</v>
      </c>
      <c r="T26" s="236"/>
      <c r="U26" s="236"/>
      <c r="V26" s="236"/>
      <c r="W26" s="236"/>
      <c r="X26" s="236">
        <f t="shared" si="2"/>
        <v>0</v>
      </c>
      <c r="Y26" s="236"/>
      <c r="Z26" s="236">
        <f t="shared" si="3"/>
        <v>0</v>
      </c>
      <c r="AA26" s="236"/>
      <c r="AB26" s="236"/>
      <c r="AC26" s="236"/>
    </row>
    <row r="27" ht="13.5" customHeight="1">
      <c r="A27" s="227">
        <v>24.0</v>
      </c>
      <c r="B27" s="228" t="s">
        <v>219</v>
      </c>
      <c r="C27" s="229" t="s">
        <v>366</v>
      </c>
      <c r="D27" s="230">
        <v>731.0</v>
      </c>
      <c r="E27" s="244"/>
      <c r="F27" s="231">
        <v>844.7</v>
      </c>
      <c r="G27" s="232"/>
      <c r="H27" s="233" t="s">
        <v>372</v>
      </c>
      <c r="I27" s="233" t="s">
        <v>375</v>
      </c>
      <c r="J27" s="234">
        <v>46041.0</v>
      </c>
      <c r="K27" s="233"/>
      <c r="L27" s="242"/>
      <c r="M27" s="235" t="str">
        <f t="shared" si="1"/>
        <v/>
      </c>
      <c r="N27" s="236"/>
      <c r="O27" s="236"/>
      <c r="P27" s="236"/>
      <c r="Q27" s="236"/>
      <c r="R27" s="236"/>
      <c r="S27" s="236">
        <f t="shared" si="4"/>
        <v>0</v>
      </c>
      <c r="T27" s="236"/>
      <c r="U27" s="236"/>
      <c r="V27" s="236"/>
      <c r="W27" s="236"/>
      <c r="X27" s="236">
        <f t="shared" si="2"/>
        <v>0</v>
      </c>
      <c r="Y27" s="236"/>
      <c r="Z27" s="236">
        <f t="shared" si="3"/>
        <v>0</v>
      </c>
      <c r="AA27" s="236"/>
      <c r="AB27" s="236"/>
      <c r="AC27" s="236"/>
    </row>
    <row r="28" ht="13.5" customHeight="1">
      <c r="A28" s="227">
        <v>25.0</v>
      </c>
      <c r="B28" s="228" t="s">
        <v>220</v>
      </c>
      <c r="C28" s="229" t="s">
        <v>366</v>
      </c>
      <c r="D28" s="246"/>
      <c r="E28" s="246"/>
      <c r="F28" s="231">
        <v>847.5</v>
      </c>
      <c r="G28" s="232"/>
      <c r="H28" s="233" t="s">
        <v>378</v>
      </c>
      <c r="I28" s="233" t="s">
        <v>379</v>
      </c>
      <c r="J28" s="234">
        <v>45992.0</v>
      </c>
      <c r="K28" s="233"/>
      <c r="L28" s="242"/>
      <c r="M28" s="235" t="str">
        <f t="shared" si="1"/>
        <v/>
      </c>
      <c r="N28" s="236"/>
      <c r="O28" s="236"/>
      <c r="P28" s="236"/>
      <c r="Q28" s="236"/>
      <c r="R28" s="236"/>
      <c r="S28" s="236">
        <f t="shared" si="4"/>
        <v>0</v>
      </c>
      <c r="T28" s="236"/>
      <c r="U28" s="236"/>
      <c r="V28" s="236"/>
      <c r="W28" s="236"/>
      <c r="X28" s="236">
        <f t="shared" si="2"/>
        <v>0</v>
      </c>
      <c r="Y28" s="236"/>
      <c r="Z28" s="236">
        <f t="shared" si="3"/>
        <v>0</v>
      </c>
      <c r="AA28" s="236"/>
      <c r="AB28" s="236"/>
      <c r="AC28" s="236"/>
    </row>
    <row r="29" ht="13.5" customHeight="1">
      <c r="A29" s="227">
        <v>26.0</v>
      </c>
      <c r="B29" s="228" t="s">
        <v>221</v>
      </c>
      <c r="C29" s="229" t="s">
        <v>366</v>
      </c>
      <c r="D29" s="246"/>
      <c r="E29" s="246"/>
      <c r="F29" s="231">
        <v>844.675</v>
      </c>
      <c r="G29" s="232"/>
      <c r="H29" s="233" t="s">
        <v>372</v>
      </c>
      <c r="I29" s="233" t="s">
        <v>387</v>
      </c>
      <c r="J29" s="240" t="s">
        <v>382</v>
      </c>
      <c r="K29" s="233"/>
      <c r="L29" s="242"/>
      <c r="M29" s="235" t="str">
        <f t="shared" si="1"/>
        <v/>
      </c>
      <c r="N29" s="236"/>
      <c r="O29" s="236"/>
      <c r="P29" s="236"/>
      <c r="Q29" s="236"/>
      <c r="R29" s="236"/>
      <c r="S29" s="236">
        <f t="shared" si="4"/>
        <v>0</v>
      </c>
      <c r="T29" s="236"/>
      <c r="U29" s="236"/>
      <c r="V29" s="236"/>
      <c r="W29" s="236"/>
      <c r="X29" s="236">
        <f t="shared" si="2"/>
        <v>0</v>
      </c>
      <c r="Y29" s="236"/>
      <c r="Z29" s="236">
        <f t="shared" si="3"/>
        <v>0</v>
      </c>
      <c r="AA29" s="236"/>
      <c r="AB29" s="236"/>
      <c r="AC29" s="236"/>
    </row>
    <row r="30" ht="13.5" hidden="1" customHeight="1">
      <c r="A30" s="227">
        <v>27.0</v>
      </c>
      <c r="B30" s="247" t="s">
        <v>222</v>
      </c>
      <c r="C30" s="227" t="s">
        <v>366</v>
      </c>
      <c r="D30" s="248"/>
      <c r="E30" s="248"/>
      <c r="F30" s="232"/>
      <c r="G30" s="232">
        <v>4373.0</v>
      </c>
      <c r="H30" s="233" t="s">
        <v>372</v>
      </c>
      <c r="I30" s="233" t="s">
        <v>387</v>
      </c>
      <c r="J30" s="240" t="s">
        <v>382</v>
      </c>
      <c r="K30" s="233"/>
      <c r="L30" s="242"/>
      <c r="M30" s="235" t="str">
        <f t="shared" si="1"/>
        <v/>
      </c>
      <c r="N30" s="236"/>
      <c r="O30" s="236"/>
      <c r="P30" s="236"/>
      <c r="Q30" s="236"/>
      <c r="R30" s="236"/>
      <c r="S30" s="236">
        <f t="shared" si="4"/>
        <v>0</v>
      </c>
      <c r="T30" s="236"/>
      <c r="U30" s="236"/>
      <c r="V30" s="236"/>
      <c r="W30" s="236"/>
      <c r="X30" s="236">
        <f t="shared" si="2"/>
        <v>0</v>
      </c>
      <c r="Y30" s="236"/>
      <c r="Z30" s="236">
        <f t="shared" si="3"/>
        <v>0</v>
      </c>
      <c r="AA30" s="236"/>
      <c r="AB30" s="236"/>
      <c r="AC30" s="236"/>
    </row>
    <row r="31" ht="13.5" customHeight="1">
      <c r="A31" s="227">
        <v>28.0</v>
      </c>
      <c r="B31" s="228" t="s">
        <v>223</v>
      </c>
      <c r="C31" s="229" t="s">
        <v>366</v>
      </c>
      <c r="D31" s="230">
        <v>731.0</v>
      </c>
      <c r="E31" s="244"/>
      <c r="F31" s="231">
        <v>845.185</v>
      </c>
      <c r="G31" s="232"/>
      <c r="H31" s="233" t="s">
        <v>372</v>
      </c>
      <c r="I31" s="233" t="s">
        <v>375</v>
      </c>
      <c r="J31" s="236"/>
      <c r="K31" s="233"/>
      <c r="L31" s="242"/>
      <c r="M31" s="235" t="str">
        <f t="shared" si="1"/>
        <v/>
      </c>
      <c r="N31" s="236"/>
      <c r="O31" s="236"/>
      <c r="P31" s="236"/>
      <c r="Q31" s="236"/>
      <c r="R31" s="236"/>
      <c r="S31" s="236">
        <f t="shared" si="4"/>
        <v>0</v>
      </c>
      <c r="T31" s="236"/>
      <c r="U31" s="236"/>
      <c r="V31" s="236"/>
      <c r="W31" s="236"/>
      <c r="X31" s="236">
        <f t="shared" si="2"/>
        <v>0</v>
      </c>
      <c r="Y31" s="236"/>
      <c r="Z31" s="236">
        <f t="shared" si="3"/>
        <v>0</v>
      </c>
      <c r="AA31" s="236"/>
      <c r="AB31" s="236"/>
      <c r="AC31" s="236"/>
    </row>
    <row r="32" ht="13.5" customHeight="1">
      <c r="A32" s="227">
        <v>29.0</v>
      </c>
      <c r="B32" s="228" t="s">
        <v>224</v>
      </c>
      <c r="C32" s="229" t="s">
        <v>366</v>
      </c>
      <c r="D32" s="230">
        <v>784.0</v>
      </c>
      <c r="E32" s="244"/>
      <c r="F32" s="231">
        <v>844.58</v>
      </c>
      <c r="G32" s="232"/>
      <c r="H32" s="233" t="s">
        <v>372</v>
      </c>
      <c r="I32" s="233" t="s">
        <v>373</v>
      </c>
      <c r="J32" s="240" t="s">
        <v>382</v>
      </c>
      <c r="K32" s="233"/>
      <c r="L32" s="242"/>
      <c r="M32" s="235" t="str">
        <f t="shared" si="1"/>
        <v/>
      </c>
      <c r="N32" s="236"/>
      <c r="O32" s="236"/>
      <c r="P32" s="236"/>
      <c r="Q32" s="236"/>
      <c r="R32" s="236"/>
      <c r="S32" s="236">
        <f t="shared" si="4"/>
        <v>0</v>
      </c>
      <c r="T32" s="236"/>
      <c r="U32" s="236"/>
      <c r="V32" s="236"/>
      <c r="W32" s="236"/>
      <c r="X32" s="236">
        <f t="shared" si="2"/>
        <v>0</v>
      </c>
      <c r="Y32" s="236"/>
      <c r="Z32" s="236">
        <f t="shared" si="3"/>
        <v>0</v>
      </c>
      <c r="AA32" s="236"/>
      <c r="AB32" s="236"/>
      <c r="AC32" s="236"/>
    </row>
    <row r="33" ht="13.5" customHeight="1">
      <c r="A33" s="227">
        <v>30.0</v>
      </c>
      <c r="B33" s="228" t="s">
        <v>225</v>
      </c>
      <c r="C33" s="229" t="s">
        <v>366</v>
      </c>
      <c r="D33" s="230">
        <v>779.0</v>
      </c>
      <c r="E33" s="244"/>
      <c r="F33" s="231">
        <v>844.58</v>
      </c>
      <c r="G33" s="232"/>
      <c r="H33" s="233" t="s">
        <v>372</v>
      </c>
      <c r="I33" s="233" t="s">
        <v>373</v>
      </c>
      <c r="J33" s="240" t="s">
        <v>382</v>
      </c>
      <c r="K33" s="233"/>
      <c r="L33" s="242"/>
      <c r="M33" s="235" t="str">
        <f t="shared" si="1"/>
        <v/>
      </c>
      <c r="N33" s="236"/>
      <c r="O33" s="236"/>
      <c r="P33" s="236"/>
      <c r="Q33" s="236"/>
      <c r="R33" s="236"/>
      <c r="S33" s="236">
        <f t="shared" si="4"/>
        <v>0</v>
      </c>
      <c r="T33" s="236"/>
      <c r="U33" s="236"/>
      <c r="V33" s="236"/>
      <c r="W33" s="236"/>
      <c r="X33" s="236">
        <f t="shared" si="2"/>
        <v>0</v>
      </c>
      <c r="Y33" s="236"/>
      <c r="Z33" s="236">
        <f t="shared" si="3"/>
        <v>0</v>
      </c>
      <c r="AA33" s="236"/>
      <c r="AB33" s="236"/>
      <c r="AC33" s="236"/>
    </row>
    <row r="34" ht="13.5" customHeight="1">
      <c r="A34" s="227">
        <v>31.0</v>
      </c>
      <c r="B34" s="228" t="s">
        <v>226</v>
      </c>
      <c r="C34" s="229" t="s">
        <v>366</v>
      </c>
      <c r="D34" s="230">
        <v>761.0</v>
      </c>
      <c r="E34" s="244"/>
      <c r="F34" s="231">
        <v>845.0</v>
      </c>
      <c r="G34" s="232"/>
      <c r="H34" s="233" t="s">
        <v>378</v>
      </c>
      <c r="I34" s="233" t="s">
        <v>379</v>
      </c>
      <c r="J34" s="240" t="s">
        <v>382</v>
      </c>
      <c r="K34" s="233"/>
      <c r="L34" s="242"/>
      <c r="M34" s="235" t="str">
        <f t="shared" si="1"/>
        <v/>
      </c>
      <c r="N34" s="236"/>
      <c r="O34" s="236"/>
      <c r="P34" s="236"/>
      <c r="Q34" s="236"/>
      <c r="R34" s="236"/>
      <c r="S34" s="236">
        <f t="shared" si="4"/>
        <v>0</v>
      </c>
      <c r="T34" s="236"/>
      <c r="U34" s="236"/>
      <c r="V34" s="236"/>
      <c r="W34" s="236"/>
      <c r="X34" s="236">
        <f t="shared" si="2"/>
        <v>0</v>
      </c>
      <c r="Y34" s="236"/>
      <c r="Z34" s="236">
        <f t="shared" si="3"/>
        <v>0</v>
      </c>
      <c r="AA34" s="236"/>
      <c r="AB34" s="236"/>
      <c r="AC34" s="236"/>
    </row>
    <row r="35" ht="13.5" customHeight="1">
      <c r="A35" s="227">
        <v>32.0</v>
      </c>
      <c r="B35" s="228" t="s">
        <v>227</v>
      </c>
      <c r="C35" s="229" t="s">
        <v>366</v>
      </c>
      <c r="D35" s="230">
        <v>780.0</v>
      </c>
      <c r="E35" s="244"/>
      <c r="F35" s="231">
        <v>436.0</v>
      </c>
      <c r="G35" s="232"/>
      <c r="H35" s="233" t="s">
        <v>367</v>
      </c>
      <c r="I35" s="233" t="s">
        <v>388</v>
      </c>
      <c r="J35" s="240" t="s">
        <v>382</v>
      </c>
      <c r="K35" s="233"/>
      <c r="L35" s="242"/>
      <c r="M35" s="235" t="str">
        <f t="shared" si="1"/>
        <v/>
      </c>
      <c r="N35" s="236"/>
      <c r="O35" s="236"/>
      <c r="P35" s="236"/>
      <c r="Q35" s="236"/>
      <c r="R35" s="236"/>
      <c r="S35" s="236">
        <f t="shared" si="4"/>
        <v>0</v>
      </c>
      <c r="T35" s="236"/>
      <c r="U35" s="236"/>
      <c r="V35" s="236"/>
      <c r="W35" s="236"/>
      <c r="X35" s="236">
        <f t="shared" si="2"/>
        <v>0</v>
      </c>
      <c r="Y35" s="236"/>
      <c r="Z35" s="236">
        <f t="shared" si="3"/>
        <v>0</v>
      </c>
      <c r="AA35" s="236"/>
      <c r="AB35" s="236"/>
      <c r="AC35" s="236"/>
    </row>
    <row r="36" ht="13.5" customHeight="1">
      <c r="A36" s="227">
        <v>33.0</v>
      </c>
      <c r="B36" s="228" t="s">
        <v>228</v>
      </c>
      <c r="C36" s="229" t="s">
        <v>366</v>
      </c>
      <c r="D36" s="230">
        <v>778.0</v>
      </c>
      <c r="E36" s="244"/>
      <c r="F36" s="231">
        <v>705.0</v>
      </c>
      <c r="G36" s="232"/>
      <c r="H36" s="233" t="s">
        <v>378</v>
      </c>
      <c r="I36" s="233" t="s">
        <v>379</v>
      </c>
      <c r="J36" s="240" t="s">
        <v>382</v>
      </c>
      <c r="K36" s="233"/>
      <c r="L36" s="242"/>
      <c r="M36" s="235" t="str">
        <f t="shared" si="1"/>
        <v/>
      </c>
      <c r="N36" s="236"/>
      <c r="O36" s="236"/>
      <c r="P36" s="236"/>
      <c r="Q36" s="236"/>
      <c r="R36" s="236"/>
      <c r="S36" s="236">
        <f t="shared" si="4"/>
        <v>0</v>
      </c>
      <c r="T36" s="236"/>
      <c r="U36" s="236"/>
      <c r="V36" s="236"/>
      <c r="W36" s="236"/>
      <c r="X36" s="236">
        <f t="shared" si="2"/>
        <v>0</v>
      </c>
      <c r="Y36" s="236"/>
      <c r="Z36" s="236">
        <f t="shared" si="3"/>
        <v>0</v>
      </c>
      <c r="AA36" s="236"/>
      <c r="AB36" s="236"/>
      <c r="AC36" s="236"/>
    </row>
    <row r="37" ht="13.5" customHeight="1">
      <c r="A37" s="227">
        <v>34.0</v>
      </c>
      <c r="B37" s="228" t="s">
        <v>229</v>
      </c>
      <c r="C37" s="229" t="s">
        <v>366</v>
      </c>
      <c r="D37" s="230">
        <v>797.0</v>
      </c>
      <c r="E37" s="244"/>
      <c r="F37" s="231">
        <v>845.0</v>
      </c>
      <c r="G37" s="232"/>
      <c r="H37" s="233" t="s">
        <v>378</v>
      </c>
      <c r="I37" s="233" t="s">
        <v>379</v>
      </c>
      <c r="J37" s="240" t="s">
        <v>382</v>
      </c>
      <c r="K37" s="233"/>
      <c r="L37" s="242"/>
      <c r="M37" s="235" t="str">
        <f t="shared" si="1"/>
        <v/>
      </c>
      <c r="N37" s="236"/>
      <c r="O37" s="236"/>
      <c r="P37" s="236"/>
      <c r="Q37" s="236"/>
      <c r="R37" s="236"/>
      <c r="S37" s="236">
        <f t="shared" si="4"/>
        <v>0</v>
      </c>
      <c r="T37" s="236"/>
      <c r="U37" s="236"/>
      <c r="V37" s="236"/>
      <c r="W37" s="236"/>
      <c r="X37" s="236">
        <f t="shared" si="2"/>
        <v>0</v>
      </c>
      <c r="Y37" s="236"/>
      <c r="Z37" s="236">
        <f t="shared" si="3"/>
        <v>0</v>
      </c>
      <c r="AA37" s="236"/>
      <c r="AB37" s="236"/>
      <c r="AC37" s="236"/>
    </row>
    <row r="38" ht="13.5" customHeight="1">
      <c r="A38" s="227">
        <v>35.0</v>
      </c>
      <c r="B38" s="228" t="s">
        <v>230</v>
      </c>
      <c r="C38" s="229" t="s">
        <v>366</v>
      </c>
      <c r="D38" s="230">
        <v>776.0</v>
      </c>
      <c r="E38" s="244"/>
      <c r="F38" s="231">
        <v>180.0</v>
      </c>
      <c r="G38" s="232"/>
      <c r="H38" s="233" t="s">
        <v>378</v>
      </c>
      <c r="I38" s="233" t="s">
        <v>379</v>
      </c>
      <c r="J38" s="240" t="s">
        <v>382</v>
      </c>
      <c r="K38" s="233"/>
      <c r="L38" s="242"/>
      <c r="M38" s="235" t="str">
        <f t="shared" si="1"/>
        <v/>
      </c>
      <c r="N38" s="236"/>
      <c r="O38" s="236"/>
      <c r="P38" s="236"/>
      <c r="Q38" s="236"/>
      <c r="R38" s="236"/>
      <c r="S38" s="236">
        <f t="shared" si="4"/>
        <v>0</v>
      </c>
      <c r="T38" s="236"/>
      <c r="U38" s="236"/>
      <c r="V38" s="236"/>
      <c r="W38" s="236"/>
      <c r="X38" s="236">
        <f t="shared" si="2"/>
        <v>0</v>
      </c>
      <c r="Y38" s="236"/>
      <c r="Z38" s="236">
        <f t="shared" si="3"/>
        <v>0</v>
      </c>
      <c r="AA38" s="236"/>
      <c r="AB38" s="236"/>
      <c r="AC38" s="236"/>
    </row>
    <row r="39" ht="13.5" customHeight="1">
      <c r="A39" s="227">
        <v>36.0</v>
      </c>
      <c r="B39" s="228" t="s">
        <v>231</v>
      </c>
      <c r="C39" s="229" t="s">
        <v>366</v>
      </c>
      <c r="D39" s="230">
        <v>764.0</v>
      </c>
      <c r="E39" s="244"/>
      <c r="F39" s="231">
        <v>845.0</v>
      </c>
      <c r="G39" s="232"/>
      <c r="H39" s="233" t="s">
        <v>378</v>
      </c>
      <c r="I39" s="233" t="s">
        <v>379</v>
      </c>
      <c r="J39" s="240" t="s">
        <v>382</v>
      </c>
      <c r="K39" s="233"/>
      <c r="L39" s="242"/>
      <c r="M39" s="235" t="str">
        <f t="shared" si="1"/>
        <v/>
      </c>
      <c r="N39" s="236"/>
      <c r="O39" s="236"/>
      <c r="P39" s="236"/>
      <c r="Q39" s="236"/>
      <c r="R39" s="236"/>
      <c r="S39" s="236">
        <f t="shared" si="4"/>
        <v>0</v>
      </c>
      <c r="T39" s="236"/>
      <c r="U39" s="236"/>
      <c r="V39" s="236"/>
      <c r="W39" s="236"/>
      <c r="X39" s="236">
        <f t="shared" si="2"/>
        <v>0</v>
      </c>
      <c r="Y39" s="236"/>
      <c r="Z39" s="236">
        <f t="shared" si="3"/>
        <v>0</v>
      </c>
      <c r="AA39" s="236"/>
      <c r="AB39" s="236"/>
      <c r="AC39" s="236"/>
    </row>
    <row r="40" ht="13.5" customHeight="1">
      <c r="A40" s="227">
        <v>37.0</v>
      </c>
      <c r="B40" s="228" t="s">
        <v>232</v>
      </c>
      <c r="C40" s="229" t="s">
        <v>366</v>
      </c>
      <c r="D40" s="230">
        <v>769.0</v>
      </c>
      <c r="E40" s="244"/>
      <c r="F40" s="231">
        <v>845.0</v>
      </c>
      <c r="G40" s="232"/>
      <c r="H40" s="233" t="s">
        <v>378</v>
      </c>
      <c r="I40" s="233" t="s">
        <v>379</v>
      </c>
      <c r="J40" s="240" t="s">
        <v>382</v>
      </c>
      <c r="K40" s="233"/>
      <c r="L40" s="242"/>
      <c r="M40" s="235" t="str">
        <f t="shared" si="1"/>
        <v/>
      </c>
      <c r="N40" s="236"/>
      <c r="O40" s="236"/>
      <c r="P40" s="236"/>
      <c r="Q40" s="236"/>
      <c r="R40" s="236"/>
      <c r="S40" s="236">
        <f t="shared" si="4"/>
        <v>0</v>
      </c>
      <c r="T40" s="236"/>
      <c r="U40" s="236"/>
      <c r="V40" s="236"/>
      <c r="W40" s="236"/>
      <c r="X40" s="236">
        <f t="shared" si="2"/>
        <v>0</v>
      </c>
      <c r="Y40" s="236"/>
      <c r="Z40" s="236">
        <f t="shared" si="3"/>
        <v>0</v>
      </c>
      <c r="AA40" s="236"/>
      <c r="AB40" s="236"/>
      <c r="AC40" s="236"/>
    </row>
    <row r="41" ht="13.5" customHeight="1">
      <c r="A41" s="227">
        <v>38.0</v>
      </c>
      <c r="B41" s="228" t="s">
        <v>233</v>
      </c>
      <c r="C41" s="229" t="s">
        <v>366</v>
      </c>
      <c r="D41" s="230">
        <v>782.0</v>
      </c>
      <c r="E41" s="244"/>
      <c r="F41" s="231">
        <v>630.0</v>
      </c>
      <c r="G41" s="232"/>
      <c r="H41" s="233" t="s">
        <v>378</v>
      </c>
      <c r="I41" s="233" t="s">
        <v>379</v>
      </c>
      <c r="J41" s="240" t="s">
        <v>382</v>
      </c>
      <c r="K41" s="233"/>
      <c r="L41" s="242"/>
      <c r="M41" s="235" t="str">
        <f t="shared" si="1"/>
        <v/>
      </c>
      <c r="N41" s="236"/>
      <c r="O41" s="236"/>
      <c r="P41" s="236"/>
      <c r="Q41" s="236"/>
      <c r="R41" s="236"/>
      <c r="S41" s="236">
        <f t="shared" si="4"/>
        <v>0</v>
      </c>
      <c r="T41" s="236"/>
      <c r="U41" s="236"/>
      <c r="V41" s="236"/>
      <c r="W41" s="236"/>
      <c r="X41" s="236">
        <f t="shared" si="2"/>
        <v>0</v>
      </c>
      <c r="Y41" s="236"/>
      <c r="Z41" s="236">
        <f t="shared" si="3"/>
        <v>0</v>
      </c>
      <c r="AA41" s="236"/>
      <c r="AB41" s="236"/>
      <c r="AC41" s="236"/>
    </row>
    <row r="42" ht="13.5" customHeight="1">
      <c r="A42" s="227">
        <v>39.0</v>
      </c>
      <c r="B42" s="228" t="s">
        <v>234</v>
      </c>
      <c r="C42" s="229" t="s">
        <v>366</v>
      </c>
      <c r="D42" s="230">
        <v>746.0</v>
      </c>
      <c r="E42" s="244"/>
      <c r="F42" s="231">
        <v>780.0</v>
      </c>
      <c r="G42" s="232"/>
      <c r="H42" s="233" t="s">
        <v>372</v>
      </c>
      <c r="I42" s="233" t="s">
        <v>387</v>
      </c>
      <c r="J42" s="240" t="s">
        <v>382</v>
      </c>
      <c r="K42" s="233"/>
      <c r="L42" s="242"/>
      <c r="M42" s="235" t="str">
        <f t="shared" si="1"/>
        <v/>
      </c>
      <c r="N42" s="236"/>
      <c r="O42" s="236"/>
      <c r="P42" s="236"/>
      <c r="Q42" s="236"/>
      <c r="R42" s="236"/>
      <c r="S42" s="236">
        <f t="shared" si="4"/>
        <v>0</v>
      </c>
      <c r="T42" s="236"/>
      <c r="U42" s="236"/>
      <c r="V42" s="236"/>
      <c r="W42" s="236"/>
      <c r="X42" s="236">
        <f t="shared" si="2"/>
        <v>0</v>
      </c>
      <c r="Y42" s="236"/>
      <c r="Z42" s="236">
        <f t="shared" si="3"/>
        <v>0</v>
      </c>
      <c r="AA42" s="236"/>
      <c r="AB42" s="236"/>
      <c r="AC42" s="236"/>
    </row>
    <row r="43" ht="13.5" customHeight="1">
      <c r="A43" s="227">
        <v>40.0</v>
      </c>
      <c r="B43" s="228" t="s">
        <v>235</v>
      </c>
      <c r="C43" s="229" t="s">
        <v>366</v>
      </c>
      <c r="D43" s="230">
        <v>745.0</v>
      </c>
      <c r="E43" s="244"/>
      <c r="F43" s="231">
        <v>845.0</v>
      </c>
      <c r="G43" s="232"/>
      <c r="H43" s="233" t="s">
        <v>378</v>
      </c>
      <c r="I43" s="233" t="s">
        <v>379</v>
      </c>
      <c r="J43" s="240" t="s">
        <v>382</v>
      </c>
      <c r="K43" s="233"/>
      <c r="L43" s="242"/>
      <c r="M43" s="235" t="str">
        <f t="shared" si="1"/>
        <v/>
      </c>
      <c r="N43" s="236"/>
      <c r="O43" s="236"/>
      <c r="P43" s="236"/>
      <c r="Q43" s="236"/>
      <c r="R43" s="236"/>
      <c r="S43" s="236">
        <f t="shared" si="4"/>
        <v>0</v>
      </c>
      <c r="T43" s="236"/>
      <c r="U43" s="236"/>
      <c r="V43" s="236"/>
      <c r="W43" s="236"/>
      <c r="X43" s="236">
        <f t="shared" si="2"/>
        <v>0</v>
      </c>
      <c r="Y43" s="236"/>
      <c r="Z43" s="236">
        <f t="shared" si="3"/>
        <v>0</v>
      </c>
      <c r="AA43" s="236"/>
      <c r="AB43" s="236"/>
      <c r="AC43" s="236"/>
    </row>
    <row r="44" ht="13.5" customHeight="1">
      <c r="A44" s="227">
        <v>41.0</v>
      </c>
      <c r="B44" s="228" t="s">
        <v>236</v>
      </c>
      <c r="C44" s="229" t="s">
        <v>366</v>
      </c>
      <c r="D44" s="230">
        <v>806.0</v>
      </c>
      <c r="E44" s="244"/>
      <c r="F44" s="231">
        <v>440.0</v>
      </c>
      <c r="G44" s="232"/>
      <c r="H44" s="233" t="s">
        <v>378</v>
      </c>
      <c r="I44" s="233" t="s">
        <v>379</v>
      </c>
      <c r="J44" s="240" t="s">
        <v>382</v>
      </c>
      <c r="K44" s="233"/>
      <c r="L44" s="242"/>
      <c r="M44" s="235" t="str">
        <f t="shared" si="1"/>
        <v/>
      </c>
      <c r="N44" s="236"/>
      <c r="O44" s="236"/>
      <c r="P44" s="236"/>
      <c r="Q44" s="236"/>
      <c r="R44" s="236"/>
      <c r="S44" s="236">
        <f t="shared" si="4"/>
        <v>0</v>
      </c>
      <c r="T44" s="236"/>
      <c r="U44" s="236"/>
      <c r="V44" s="236"/>
      <c r="W44" s="236"/>
      <c r="X44" s="236">
        <f t="shared" si="2"/>
        <v>0</v>
      </c>
      <c r="Y44" s="236"/>
      <c r="Z44" s="236">
        <f t="shared" si="3"/>
        <v>0</v>
      </c>
      <c r="AA44" s="236"/>
      <c r="AB44" s="236"/>
      <c r="AC44" s="236"/>
    </row>
    <row r="45" ht="13.5" customHeight="1">
      <c r="A45" s="227">
        <v>42.0</v>
      </c>
      <c r="B45" s="228" t="s">
        <v>237</v>
      </c>
      <c r="C45" s="229" t="s">
        <v>366</v>
      </c>
      <c r="D45" s="230">
        <v>818.0</v>
      </c>
      <c r="E45" s="244"/>
      <c r="F45" s="231">
        <v>440.0</v>
      </c>
      <c r="G45" s="232"/>
      <c r="H45" s="233" t="s">
        <v>378</v>
      </c>
      <c r="I45" s="233" t="s">
        <v>379</v>
      </c>
      <c r="J45" s="240" t="s">
        <v>382</v>
      </c>
      <c r="K45" s="233"/>
      <c r="L45" s="242"/>
      <c r="M45" s="235" t="str">
        <f t="shared" si="1"/>
        <v/>
      </c>
      <c r="N45" s="236"/>
      <c r="O45" s="236"/>
      <c r="P45" s="236"/>
      <c r="Q45" s="236"/>
      <c r="R45" s="236"/>
      <c r="S45" s="236">
        <f t="shared" si="4"/>
        <v>0</v>
      </c>
      <c r="T45" s="236"/>
      <c r="U45" s="236"/>
      <c r="V45" s="236"/>
      <c r="W45" s="236"/>
      <c r="X45" s="236">
        <f t="shared" si="2"/>
        <v>0</v>
      </c>
      <c r="Y45" s="236"/>
      <c r="Z45" s="236">
        <f t="shared" si="3"/>
        <v>0</v>
      </c>
      <c r="AA45" s="236"/>
      <c r="AB45" s="236"/>
      <c r="AC45" s="236"/>
    </row>
    <row r="46" ht="13.5" customHeight="1">
      <c r="A46" s="227">
        <v>43.0</v>
      </c>
      <c r="B46" s="228" t="s">
        <v>238</v>
      </c>
      <c r="C46" s="229" t="s">
        <v>366</v>
      </c>
      <c r="D46" s="230">
        <v>840.0</v>
      </c>
      <c r="E46" s="244"/>
      <c r="F46" s="231">
        <v>845.0</v>
      </c>
      <c r="G46" s="232"/>
      <c r="H46" s="233" t="s">
        <v>378</v>
      </c>
      <c r="I46" s="233" t="s">
        <v>379</v>
      </c>
      <c r="J46" s="240" t="s">
        <v>382</v>
      </c>
      <c r="K46" s="233"/>
      <c r="L46" s="242"/>
      <c r="M46" s="235" t="str">
        <f t="shared" si="1"/>
        <v/>
      </c>
      <c r="N46" s="236"/>
      <c r="O46" s="236"/>
      <c r="P46" s="236"/>
      <c r="Q46" s="236"/>
      <c r="R46" s="236"/>
      <c r="S46" s="236">
        <f t="shared" si="4"/>
        <v>0</v>
      </c>
      <c r="T46" s="236"/>
      <c r="U46" s="236"/>
      <c r="V46" s="236"/>
      <c r="W46" s="236"/>
      <c r="X46" s="236">
        <f t="shared" si="2"/>
        <v>0</v>
      </c>
      <c r="Y46" s="236"/>
      <c r="Z46" s="236">
        <f t="shared" si="3"/>
        <v>0</v>
      </c>
      <c r="AA46" s="236"/>
      <c r="AB46" s="236"/>
      <c r="AC46" s="236"/>
    </row>
    <row r="47" ht="13.5" customHeight="1">
      <c r="A47" s="227">
        <v>44.0</v>
      </c>
      <c r="B47" s="228" t="s">
        <v>239</v>
      </c>
      <c r="C47" s="229" t="s">
        <v>366</v>
      </c>
      <c r="D47" s="230">
        <v>862.0</v>
      </c>
      <c r="E47" s="244"/>
      <c r="F47" s="231">
        <v>845.0</v>
      </c>
      <c r="G47" s="232"/>
      <c r="H47" s="233" t="s">
        <v>367</v>
      </c>
      <c r="I47" s="233" t="s">
        <v>388</v>
      </c>
      <c r="J47" s="240" t="s">
        <v>382</v>
      </c>
      <c r="K47" s="233"/>
      <c r="L47" s="242"/>
      <c r="M47" s="235" t="str">
        <f t="shared" si="1"/>
        <v/>
      </c>
      <c r="N47" s="236"/>
      <c r="O47" s="236"/>
      <c r="P47" s="236"/>
      <c r="Q47" s="236"/>
      <c r="R47" s="236"/>
      <c r="S47" s="236">
        <f t="shared" si="4"/>
        <v>0</v>
      </c>
      <c r="T47" s="236"/>
      <c r="U47" s="236"/>
      <c r="V47" s="236"/>
      <c r="W47" s="236"/>
      <c r="X47" s="236">
        <f t="shared" si="2"/>
        <v>0</v>
      </c>
      <c r="Y47" s="236"/>
      <c r="Z47" s="236">
        <f t="shared" si="3"/>
        <v>0</v>
      </c>
      <c r="AA47" s="236"/>
      <c r="AB47" s="236"/>
      <c r="AC47" s="236"/>
    </row>
    <row r="48" ht="13.5" customHeight="1">
      <c r="A48" s="227">
        <v>45.0</v>
      </c>
      <c r="B48" s="228" t="s">
        <v>240</v>
      </c>
      <c r="C48" s="229" t="s">
        <v>366</v>
      </c>
      <c r="D48" s="230">
        <v>850.0</v>
      </c>
      <c r="E48" s="244"/>
      <c r="F48" s="231">
        <v>845.0</v>
      </c>
      <c r="G48" s="232"/>
      <c r="H48" s="233" t="s">
        <v>378</v>
      </c>
      <c r="I48" s="233" t="s">
        <v>379</v>
      </c>
      <c r="J48" s="240" t="s">
        <v>382</v>
      </c>
      <c r="K48" s="233"/>
      <c r="L48" s="242"/>
      <c r="M48" s="235" t="str">
        <f t="shared" si="1"/>
        <v/>
      </c>
      <c r="N48" s="236"/>
      <c r="O48" s="236"/>
      <c r="P48" s="236"/>
      <c r="Q48" s="236"/>
      <c r="R48" s="236"/>
      <c r="S48" s="236">
        <f t="shared" si="4"/>
        <v>0</v>
      </c>
      <c r="T48" s="236"/>
      <c r="U48" s="236"/>
      <c r="V48" s="236"/>
      <c r="W48" s="236"/>
      <c r="X48" s="236">
        <f t="shared" si="2"/>
        <v>0</v>
      </c>
      <c r="Y48" s="236"/>
      <c r="Z48" s="236">
        <f t="shared" si="3"/>
        <v>0</v>
      </c>
      <c r="AA48" s="236"/>
      <c r="AB48" s="236"/>
      <c r="AC48" s="236"/>
    </row>
    <row r="49" ht="13.5" customHeight="1">
      <c r="A49" s="253">
        <v>46.0</v>
      </c>
      <c r="B49" s="228" t="s">
        <v>241</v>
      </c>
      <c r="C49" s="229" t="s">
        <v>366</v>
      </c>
      <c r="D49" s="246"/>
      <c r="E49" s="246"/>
      <c r="F49" s="254">
        <v>845.0</v>
      </c>
      <c r="G49" s="255"/>
      <c r="H49" s="233" t="s">
        <v>372</v>
      </c>
      <c r="I49" s="233" t="s">
        <v>375</v>
      </c>
      <c r="J49" s="236"/>
      <c r="K49" s="233"/>
      <c r="L49" s="242"/>
      <c r="M49" s="235" t="str">
        <f t="shared" si="1"/>
        <v/>
      </c>
      <c r="N49" s="236"/>
      <c r="O49" s="236"/>
      <c r="P49" s="236"/>
      <c r="Q49" s="236"/>
      <c r="R49" s="236"/>
      <c r="S49" s="236">
        <f t="shared" si="4"/>
        <v>0</v>
      </c>
      <c r="T49" s="236"/>
      <c r="U49" s="236"/>
      <c r="V49" s="236"/>
      <c r="W49" s="236"/>
      <c r="X49" s="236">
        <f t="shared" si="2"/>
        <v>0</v>
      </c>
      <c r="Y49" s="236"/>
      <c r="Z49" s="236">
        <f t="shared" si="3"/>
        <v>0</v>
      </c>
      <c r="AA49" s="236"/>
      <c r="AB49" s="236"/>
      <c r="AC49" s="236"/>
    </row>
    <row r="50" ht="13.5" customHeight="1">
      <c r="A50" s="253">
        <v>47.0</v>
      </c>
      <c r="B50" s="228" t="s">
        <v>242</v>
      </c>
      <c r="C50" s="229" t="s">
        <v>366</v>
      </c>
      <c r="D50" s="246"/>
      <c r="E50" s="246"/>
      <c r="F50" s="254">
        <v>845.0</v>
      </c>
      <c r="G50" s="255"/>
      <c r="H50" s="233" t="s">
        <v>367</v>
      </c>
      <c r="I50" s="233" t="s">
        <v>368</v>
      </c>
      <c r="J50" s="236"/>
      <c r="K50" s="233"/>
      <c r="L50" s="242"/>
      <c r="M50" s="235" t="str">
        <f t="shared" si="1"/>
        <v/>
      </c>
      <c r="N50" s="236"/>
      <c r="O50" s="236"/>
      <c r="P50" s="236"/>
      <c r="Q50" s="236"/>
      <c r="R50" s="236"/>
      <c r="S50" s="236">
        <f t="shared" si="4"/>
        <v>0</v>
      </c>
      <c r="T50" s="236"/>
      <c r="U50" s="236"/>
      <c r="V50" s="236"/>
      <c r="W50" s="236"/>
      <c r="X50" s="236">
        <f t="shared" si="2"/>
        <v>0</v>
      </c>
      <c r="Y50" s="236"/>
      <c r="Z50" s="236">
        <f t="shared" si="3"/>
        <v>0</v>
      </c>
      <c r="AA50" s="236"/>
      <c r="AB50" s="236"/>
      <c r="AC50" s="236"/>
    </row>
    <row r="51" ht="13.5" customHeight="1">
      <c r="A51" s="227">
        <v>53.0</v>
      </c>
      <c r="B51" s="228" t="s">
        <v>251</v>
      </c>
      <c r="C51" s="256" t="s">
        <v>252</v>
      </c>
      <c r="D51" s="230">
        <v>158.0</v>
      </c>
      <c r="E51" s="230">
        <v>511.0</v>
      </c>
      <c r="F51" s="231">
        <v>98.82</v>
      </c>
      <c r="G51" s="232"/>
      <c r="H51" s="233" t="s">
        <v>372</v>
      </c>
      <c r="I51" s="233" t="s">
        <v>375</v>
      </c>
      <c r="J51" s="257">
        <v>44629.0</v>
      </c>
      <c r="K51" s="233"/>
      <c r="L51" s="242"/>
      <c r="M51" s="235" t="str">
        <f t="shared" si="1"/>
        <v>Vigente</v>
      </c>
      <c r="N51" s="236"/>
      <c r="O51" s="236"/>
      <c r="P51" s="236"/>
      <c r="Q51" s="237">
        <v>46022.0</v>
      </c>
      <c r="R51" s="237">
        <v>46386.0</v>
      </c>
      <c r="S51" s="236">
        <f t="shared" si="4"/>
        <v>1</v>
      </c>
      <c r="T51" s="238">
        <v>46082.0</v>
      </c>
      <c r="U51" s="239">
        <v>46090.0</v>
      </c>
      <c r="V51" s="239">
        <v>46090.0</v>
      </c>
      <c r="W51" s="239">
        <v>46091.0</v>
      </c>
      <c r="X51" s="236">
        <f t="shared" si="2"/>
        <v>1</v>
      </c>
      <c r="Y51" s="239">
        <v>46094.0</v>
      </c>
      <c r="Z51" s="236">
        <f t="shared" si="3"/>
        <v>3</v>
      </c>
      <c r="AA51" s="236"/>
      <c r="AB51" s="236"/>
      <c r="AC51" s="236"/>
    </row>
    <row r="52" ht="13.5" customHeight="1">
      <c r="A52" s="227">
        <v>54.0</v>
      </c>
      <c r="B52" s="228" t="s">
        <v>253</v>
      </c>
      <c r="C52" s="256" t="s">
        <v>254</v>
      </c>
      <c r="D52" s="230">
        <v>160.0</v>
      </c>
      <c r="E52" s="230">
        <v>397.0</v>
      </c>
      <c r="F52" s="231">
        <v>189.2</v>
      </c>
      <c r="G52" s="232"/>
      <c r="H52" s="233" t="s">
        <v>372</v>
      </c>
      <c r="I52" s="233" t="s">
        <v>375</v>
      </c>
      <c r="J52" s="258" t="s">
        <v>389</v>
      </c>
      <c r="K52" s="233"/>
      <c r="L52" s="242"/>
      <c r="M52" s="235" t="str">
        <f t="shared" si="1"/>
        <v>Vigente</v>
      </c>
      <c r="N52" s="236"/>
      <c r="O52" s="236"/>
      <c r="P52" s="236"/>
      <c r="Q52" s="237">
        <v>46034.0</v>
      </c>
      <c r="R52" s="237">
        <v>46398.0</v>
      </c>
      <c r="S52" s="236">
        <f t="shared" si="4"/>
        <v>1</v>
      </c>
      <c r="T52" s="238">
        <v>46082.0</v>
      </c>
      <c r="U52" s="239">
        <v>46092.0</v>
      </c>
      <c r="V52" s="239">
        <v>46092.0</v>
      </c>
      <c r="W52" s="239">
        <v>46093.0</v>
      </c>
      <c r="X52" s="236">
        <f t="shared" si="2"/>
        <v>1</v>
      </c>
      <c r="Y52" s="239">
        <v>46098.0</v>
      </c>
      <c r="Z52" s="236">
        <f t="shared" si="3"/>
        <v>5</v>
      </c>
      <c r="AA52" s="236"/>
      <c r="AB52" s="236"/>
      <c r="AC52" s="236"/>
    </row>
    <row r="53" ht="13.5" customHeight="1">
      <c r="A53" s="227">
        <v>55.0</v>
      </c>
      <c r="B53" s="228" t="s">
        <v>255</v>
      </c>
      <c r="C53" s="256" t="s">
        <v>256</v>
      </c>
      <c r="D53" s="230">
        <v>153.0</v>
      </c>
      <c r="E53" s="230">
        <v>308.0</v>
      </c>
      <c r="F53" s="231">
        <v>274.86</v>
      </c>
      <c r="G53" s="232"/>
      <c r="H53" s="233" t="s">
        <v>372</v>
      </c>
      <c r="I53" s="233" t="s">
        <v>373</v>
      </c>
      <c r="J53" s="257">
        <v>45083.0</v>
      </c>
      <c r="K53" s="233"/>
      <c r="L53" s="242"/>
      <c r="M53" s="235" t="str">
        <f t="shared" si="1"/>
        <v>Vencimiento reciente</v>
      </c>
      <c r="N53" s="236"/>
      <c r="O53" s="236"/>
      <c r="P53" s="236"/>
      <c r="Q53" s="259">
        <v>45814.0</v>
      </c>
      <c r="R53" s="259">
        <v>46178.0</v>
      </c>
      <c r="S53" s="236">
        <f t="shared" si="4"/>
        <v>1</v>
      </c>
      <c r="T53" s="238">
        <v>46082.0</v>
      </c>
      <c r="U53" s="239">
        <v>46098.0</v>
      </c>
      <c r="V53" s="239">
        <v>46098.0</v>
      </c>
      <c r="W53" s="239">
        <v>46099.0</v>
      </c>
      <c r="X53" s="236">
        <f t="shared" si="2"/>
        <v>1</v>
      </c>
      <c r="Y53" s="239">
        <v>46111.0</v>
      </c>
      <c r="Z53" s="236">
        <f t="shared" si="3"/>
        <v>12</v>
      </c>
      <c r="AA53" s="236"/>
      <c r="AB53" s="236"/>
      <c r="AC53" s="236"/>
    </row>
    <row r="54" ht="13.5" customHeight="1">
      <c r="A54" s="227">
        <v>56.0</v>
      </c>
      <c r="B54" s="228" t="s">
        <v>257</v>
      </c>
      <c r="C54" s="256" t="s">
        <v>256</v>
      </c>
      <c r="D54" s="230">
        <v>163.0</v>
      </c>
      <c r="E54" s="230">
        <v>820.0</v>
      </c>
      <c r="F54" s="231">
        <v>566.5</v>
      </c>
      <c r="G54" s="232"/>
      <c r="H54" s="233" t="s">
        <v>367</v>
      </c>
      <c r="I54" s="233" t="s">
        <v>368</v>
      </c>
      <c r="J54" s="257">
        <v>45421.0</v>
      </c>
      <c r="K54" s="233"/>
      <c r="L54" s="242"/>
      <c r="M54" s="235" t="str">
        <f t="shared" si="1"/>
        <v>Vigente</v>
      </c>
      <c r="N54" s="236"/>
      <c r="O54" s="236"/>
      <c r="P54" s="236"/>
      <c r="Q54" s="237">
        <v>46072.0</v>
      </c>
      <c r="R54" s="260">
        <v>46436.0</v>
      </c>
      <c r="S54" s="236">
        <f t="shared" si="4"/>
        <v>1</v>
      </c>
      <c r="T54" s="238">
        <v>46082.0</v>
      </c>
      <c r="U54" s="239">
        <v>46083.0</v>
      </c>
      <c r="V54" s="239">
        <v>46083.0</v>
      </c>
      <c r="W54" s="239">
        <v>46087.0</v>
      </c>
      <c r="X54" s="236">
        <f t="shared" si="2"/>
        <v>4</v>
      </c>
      <c r="Y54" s="239">
        <v>46091.0</v>
      </c>
      <c r="Z54" s="236">
        <f t="shared" si="3"/>
        <v>4</v>
      </c>
      <c r="AA54" s="236"/>
      <c r="AB54" s="236"/>
      <c r="AC54" s="236"/>
    </row>
    <row r="55" ht="13.5" customHeight="1">
      <c r="A55" s="227">
        <v>57.0</v>
      </c>
      <c r="B55" s="228" t="s">
        <v>258</v>
      </c>
      <c r="C55" s="256" t="s">
        <v>256</v>
      </c>
      <c r="D55" s="230">
        <v>204.0</v>
      </c>
      <c r="E55" s="230">
        <v>526.0</v>
      </c>
      <c r="F55" s="231">
        <v>624.8</v>
      </c>
      <c r="G55" s="232"/>
      <c r="H55" s="233" t="s">
        <v>367</v>
      </c>
      <c r="I55" s="233" t="s">
        <v>388</v>
      </c>
      <c r="J55" s="258" t="s">
        <v>390</v>
      </c>
      <c r="K55" s="233"/>
      <c r="L55" s="242"/>
      <c r="M55" s="235" t="str">
        <f t="shared" si="1"/>
        <v>Vigente</v>
      </c>
      <c r="N55" s="236"/>
      <c r="O55" s="236"/>
      <c r="P55" s="236"/>
      <c r="Q55" s="260">
        <v>45925.0</v>
      </c>
      <c r="R55" s="237">
        <v>46291.0</v>
      </c>
      <c r="S55" s="236">
        <f t="shared" si="4"/>
        <v>1</v>
      </c>
      <c r="T55" s="238">
        <v>46082.0</v>
      </c>
      <c r="U55" s="239">
        <v>46090.0</v>
      </c>
      <c r="V55" s="239">
        <v>46090.0</v>
      </c>
      <c r="W55" s="239">
        <v>46093.0</v>
      </c>
      <c r="X55" s="236">
        <f t="shared" si="2"/>
        <v>3</v>
      </c>
      <c r="Y55" s="239">
        <v>46097.0</v>
      </c>
      <c r="Z55" s="236">
        <f t="shared" si="3"/>
        <v>4</v>
      </c>
      <c r="AA55" s="236"/>
      <c r="AB55" s="236"/>
      <c r="AC55" s="236"/>
    </row>
    <row r="56" ht="13.5" customHeight="1">
      <c r="A56" s="227">
        <v>58.0</v>
      </c>
      <c r="B56" s="228" t="s">
        <v>259</v>
      </c>
      <c r="C56" s="256" t="s">
        <v>256</v>
      </c>
      <c r="D56" s="230">
        <v>221.0</v>
      </c>
      <c r="E56" s="230">
        <v>315.0</v>
      </c>
      <c r="F56" s="231">
        <v>499.5</v>
      </c>
      <c r="G56" s="232"/>
      <c r="H56" s="233" t="s">
        <v>367</v>
      </c>
      <c r="I56" s="233" t="s">
        <v>368</v>
      </c>
      <c r="J56" s="257">
        <v>45172.0</v>
      </c>
      <c r="K56" s="233"/>
      <c r="L56" s="242"/>
      <c r="M56" s="235" t="str">
        <f t="shared" si="1"/>
        <v>Vigente</v>
      </c>
      <c r="N56" s="236"/>
      <c r="O56" s="236"/>
      <c r="P56" s="236"/>
      <c r="Q56" s="237">
        <v>46090.0</v>
      </c>
      <c r="R56" s="237">
        <v>46454.0</v>
      </c>
      <c r="S56" s="236">
        <f t="shared" si="4"/>
        <v>1</v>
      </c>
      <c r="T56" s="238">
        <v>46023.0</v>
      </c>
      <c r="U56" s="239">
        <v>46042.0</v>
      </c>
      <c r="V56" s="239">
        <v>46042.0</v>
      </c>
      <c r="W56" s="239">
        <v>46045.0</v>
      </c>
      <c r="X56" s="236">
        <f t="shared" si="2"/>
        <v>3</v>
      </c>
      <c r="Y56" s="239">
        <v>46049.0</v>
      </c>
      <c r="Z56" s="236">
        <f t="shared" si="3"/>
        <v>4</v>
      </c>
      <c r="AA56" s="236"/>
      <c r="AB56" s="236"/>
      <c r="AC56" s="236"/>
    </row>
    <row r="57" ht="13.5" customHeight="1">
      <c r="A57" s="227">
        <v>59.0</v>
      </c>
      <c r="B57" s="228" t="s">
        <v>260</v>
      </c>
      <c r="C57" s="256" t="s">
        <v>256</v>
      </c>
      <c r="D57" s="230">
        <v>129.0</v>
      </c>
      <c r="E57" s="230">
        <v>689.0</v>
      </c>
      <c r="F57" s="231">
        <v>624.8</v>
      </c>
      <c r="G57" s="232"/>
      <c r="H57" s="233" t="s">
        <v>367</v>
      </c>
      <c r="I57" s="233" t="s">
        <v>388</v>
      </c>
      <c r="J57" s="257">
        <v>45449.0</v>
      </c>
      <c r="K57" s="233"/>
      <c r="L57" s="242"/>
      <c r="M57" s="235" t="str">
        <f t="shared" si="1"/>
        <v>Vencimiento reciente</v>
      </c>
      <c r="N57" s="236"/>
      <c r="O57" s="236"/>
      <c r="P57" s="236"/>
      <c r="Q57" s="237">
        <v>45814.0</v>
      </c>
      <c r="R57" s="237">
        <v>46178.0</v>
      </c>
      <c r="S57" s="236">
        <f t="shared" si="4"/>
        <v>1</v>
      </c>
      <c r="T57" s="238">
        <v>46082.0</v>
      </c>
      <c r="U57" s="239">
        <v>46083.0</v>
      </c>
      <c r="V57" s="239">
        <v>46083.0</v>
      </c>
      <c r="W57" s="239">
        <v>46087.0</v>
      </c>
      <c r="X57" s="236">
        <f t="shared" si="2"/>
        <v>4</v>
      </c>
      <c r="Y57" s="239">
        <v>46090.0</v>
      </c>
      <c r="Z57" s="236">
        <f t="shared" si="3"/>
        <v>3</v>
      </c>
      <c r="AA57" s="236"/>
      <c r="AB57" s="236"/>
      <c r="AC57" s="236"/>
    </row>
    <row r="58" ht="13.5" customHeight="1">
      <c r="A58" s="227">
        <v>60.0</v>
      </c>
      <c r="B58" s="228" t="s">
        <v>261</v>
      </c>
      <c r="C58" s="256" t="s">
        <v>256</v>
      </c>
      <c r="D58" s="230">
        <v>184.0</v>
      </c>
      <c r="E58" s="230">
        <v>364.0</v>
      </c>
      <c r="F58" s="231">
        <v>499.5</v>
      </c>
      <c r="G58" s="232"/>
      <c r="H58" s="233" t="s">
        <v>385</v>
      </c>
      <c r="I58" s="233" t="s">
        <v>386</v>
      </c>
      <c r="J58" s="258" t="s">
        <v>391</v>
      </c>
      <c r="K58" s="233"/>
      <c r="L58" s="242"/>
      <c r="M58" s="235" t="str">
        <f t="shared" si="1"/>
        <v>Vencimiento reciente</v>
      </c>
      <c r="N58" s="236"/>
      <c r="O58" s="236"/>
      <c r="P58" s="236"/>
      <c r="Q58" s="261">
        <v>45796.0</v>
      </c>
      <c r="R58" s="261">
        <v>46160.0</v>
      </c>
      <c r="S58" s="236">
        <f t="shared" si="4"/>
        <v>1</v>
      </c>
      <c r="T58" s="238">
        <v>46023.0</v>
      </c>
      <c r="U58" s="239">
        <v>46069.0</v>
      </c>
      <c r="V58" s="239">
        <v>46069.0</v>
      </c>
      <c r="W58" s="239">
        <v>46072.0</v>
      </c>
      <c r="X58" s="236">
        <f t="shared" si="2"/>
        <v>3</v>
      </c>
      <c r="Y58" s="239">
        <v>46078.0</v>
      </c>
      <c r="Z58" s="236">
        <f t="shared" si="3"/>
        <v>6</v>
      </c>
      <c r="AA58" s="236"/>
      <c r="AB58" s="236"/>
      <c r="AC58" s="236"/>
    </row>
    <row r="59" ht="13.5" customHeight="1">
      <c r="A59" s="227">
        <v>61.0</v>
      </c>
      <c r="B59" s="228" t="s">
        <v>262</v>
      </c>
      <c r="C59" s="256" t="s">
        <v>256</v>
      </c>
      <c r="D59" s="262">
        <v>243.0</v>
      </c>
      <c r="E59" s="262">
        <v>338.0</v>
      </c>
      <c r="F59" s="231">
        <v>624.88</v>
      </c>
      <c r="G59" s="232"/>
      <c r="H59" s="233" t="s">
        <v>385</v>
      </c>
      <c r="I59" s="233" t="s">
        <v>386</v>
      </c>
      <c r="J59" s="257">
        <v>45265.0</v>
      </c>
      <c r="K59" s="233"/>
      <c r="L59" s="242"/>
      <c r="M59" s="235" t="str">
        <f t="shared" si="1"/>
        <v>Vencimiento reciente</v>
      </c>
      <c r="N59" s="236"/>
      <c r="O59" s="236"/>
      <c r="P59" s="236"/>
      <c r="Q59" s="261">
        <v>45800.0</v>
      </c>
      <c r="R59" s="261">
        <v>46164.0</v>
      </c>
      <c r="S59" s="236">
        <f t="shared" si="4"/>
        <v>1</v>
      </c>
      <c r="T59" s="238">
        <v>46023.0</v>
      </c>
      <c r="U59" s="239">
        <v>46060.0</v>
      </c>
      <c r="V59" s="239">
        <v>46060.0</v>
      </c>
      <c r="W59" s="239">
        <v>46062.0</v>
      </c>
      <c r="X59" s="236">
        <f t="shared" si="2"/>
        <v>2</v>
      </c>
      <c r="Y59" s="239">
        <v>46069.0</v>
      </c>
      <c r="Z59" s="236">
        <f t="shared" si="3"/>
        <v>7</v>
      </c>
      <c r="AA59" s="236"/>
      <c r="AB59" s="236"/>
      <c r="AC59" s="236"/>
    </row>
    <row r="60" ht="13.5" customHeight="1">
      <c r="A60" s="227">
        <v>62.0</v>
      </c>
      <c r="B60" s="228" t="s">
        <v>263</v>
      </c>
      <c r="C60" s="256" t="s">
        <v>256</v>
      </c>
      <c r="D60" s="230">
        <v>135.0</v>
      </c>
      <c r="E60" s="230">
        <v>819.0</v>
      </c>
      <c r="F60" s="231">
        <v>245.3</v>
      </c>
      <c r="G60" s="232"/>
      <c r="H60" s="233" t="s">
        <v>372</v>
      </c>
      <c r="I60" s="233" t="s">
        <v>381</v>
      </c>
      <c r="J60" s="258" t="s">
        <v>392</v>
      </c>
      <c r="K60" s="233"/>
      <c r="L60" s="242"/>
      <c r="M60" s="235" t="str">
        <f t="shared" si="1"/>
        <v>Vigente</v>
      </c>
      <c r="N60" s="236"/>
      <c r="O60" s="236"/>
      <c r="P60" s="236"/>
      <c r="Q60" s="237">
        <v>45926.0</v>
      </c>
      <c r="R60" s="237">
        <v>46290.0</v>
      </c>
      <c r="S60" s="236">
        <f t="shared" si="4"/>
        <v>1</v>
      </c>
      <c r="T60" s="238">
        <v>46082.0</v>
      </c>
      <c r="U60" s="239">
        <v>46091.0</v>
      </c>
      <c r="V60" s="239">
        <v>46091.0</v>
      </c>
      <c r="W60" s="239">
        <v>46093.0</v>
      </c>
      <c r="X60" s="236">
        <f t="shared" si="2"/>
        <v>2</v>
      </c>
      <c r="Y60" s="239">
        <v>46096.0</v>
      </c>
      <c r="Z60" s="236">
        <f t="shared" si="3"/>
        <v>3</v>
      </c>
      <c r="AA60" s="236"/>
      <c r="AB60" s="236"/>
      <c r="AC60" s="236"/>
    </row>
    <row r="61" ht="13.5" customHeight="1">
      <c r="A61" s="227">
        <v>63.0</v>
      </c>
      <c r="B61" s="228" t="s">
        <v>264</v>
      </c>
      <c r="C61" s="256" t="s">
        <v>256</v>
      </c>
      <c r="D61" s="230">
        <v>166.0</v>
      </c>
      <c r="E61" s="230">
        <v>544.0</v>
      </c>
      <c r="F61" s="231">
        <v>624.8</v>
      </c>
      <c r="G61" s="232"/>
      <c r="H61" s="233" t="s">
        <v>372</v>
      </c>
      <c r="I61" s="233" t="s">
        <v>381</v>
      </c>
      <c r="J61" s="258" t="s">
        <v>393</v>
      </c>
      <c r="K61" s="233"/>
      <c r="L61" s="242"/>
      <c r="M61" s="235" t="str">
        <f t="shared" si="1"/>
        <v>Vigente</v>
      </c>
      <c r="N61" s="236"/>
      <c r="O61" s="236"/>
      <c r="P61" s="236"/>
      <c r="Q61" s="237">
        <v>45989.0</v>
      </c>
      <c r="R61" s="237">
        <v>46353.0</v>
      </c>
      <c r="S61" s="236">
        <f t="shared" si="4"/>
        <v>1</v>
      </c>
      <c r="T61" s="238">
        <v>46023.0</v>
      </c>
      <c r="U61" s="239">
        <v>46041.0</v>
      </c>
      <c r="V61" s="239">
        <v>46041.0</v>
      </c>
      <c r="W61" s="239">
        <v>46043.0</v>
      </c>
      <c r="X61" s="236">
        <f t="shared" si="2"/>
        <v>2</v>
      </c>
      <c r="Y61" s="239">
        <v>46046.0</v>
      </c>
      <c r="Z61" s="236">
        <f t="shared" si="3"/>
        <v>3</v>
      </c>
      <c r="AA61" s="236"/>
      <c r="AB61" s="236"/>
      <c r="AC61" s="236"/>
    </row>
    <row r="62" ht="13.5" customHeight="1">
      <c r="A62" s="227">
        <v>64.0</v>
      </c>
      <c r="B62" s="228" t="s">
        <v>265</v>
      </c>
      <c r="C62" s="256" t="s">
        <v>256</v>
      </c>
      <c r="D62" s="230">
        <v>222.0</v>
      </c>
      <c r="E62" s="230">
        <v>253.0</v>
      </c>
      <c r="F62" s="231">
        <v>499.5</v>
      </c>
      <c r="G62" s="232"/>
      <c r="H62" s="233" t="s">
        <v>372</v>
      </c>
      <c r="I62" s="233" t="s">
        <v>375</v>
      </c>
      <c r="J62" s="258" t="s">
        <v>394</v>
      </c>
      <c r="K62" s="233"/>
      <c r="L62" s="242"/>
      <c r="M62" s="235" t="str">
        <f t="shared" si="1"/>
        <v>Vencimiento reciente</v>
      </c>
      <c r="N62" s="236"/>
      <c r="O62" s="236"/>
      <c r="P62" s="236"/>
      <c r="Q62" s="261">
        <v>45800.0</v>
      </c>
      <c r="R62" s="261">
        <v>46164.0</v>
      </c>
      <c r="S62" s="236">
        <f t="shared" si="4"/>
        <v>1</v>
      </c>
      <c r="T62" s="238">
        <v>46023.0</v>
      </c>
      <c r="U62" s="239">
        <v>46041.0</v>
      </c>
      <c r="V62" s="239">
        <v>46041.0</v>
      </c>
      <c r="W62" s="239">
        <v>46045.0</v>
      </c>
      <c r="X62" s="236">
        <f t="shared" si="2"/>
        <v>4</v>
      </c>
      <c r="Y62" s="239">
        <v>46049.0</v>
      </c>
      <c r="Z62" s="236">
        <f t="shared" si="3"/>
        <v>4</v>
      </c>
      <c r="AA62" s="236"/>
      <c r="AB62" s="236"/>
      <c r="AC62" s="236"/>
    </row>
    <row r="63" ht="13.5" customHeight="1">
      <c r="A63" s="227">
        <v>65.0</v>
      </c>
      <c r="B63" s="228" t="s">
        <v>266</v>
      </c>
      <c r="C63" s="256" t="s">
        <v>256</v>
      </c>
      <c r="D63" s="230">
        <v>155.0</v>
      </c>
      <c r="E63" s="230">
        <v>792.0</v>
      </c>
      <c r="F63" s="231">
        <v>624.8</v>
      </c>
      <c r="G63" s="232"/>
      <c r="H63" s="233" t="s">
        <v>367</v>
      </c>
      <c r="I63" s="233" t="s">
        <v>368</v>
      </c>
      <c r="J63" s="258" t="s">
        <v>395</v>
      </c>
      <c r="K63" s="233"/>
      <c r="L63" s="242"/>
      <c r="M63" s="235" t="str">
        <f t="shared" si="1"/>
        <v>Vigente</v>
      </c>
      <c r="N63" s="236"/>
      <c r="O63" s="236"/>
      <c r="P63" s="236"/>
      <c r="Q63" s="237">
        <v>46109.0</v>
      </c>
      <c r="R63" s="237">
        <v>46473.0</v>
      </c>
      <c r="S63" s="236">
        <f t="shared" si="4"/>
        <v>1</v>
      </c>
      <c r="T63" s="238">
        <v>46054.0</v>
      </c>
      <c r="U63" s="239">
        <v>46062.0</v>
      </c>
      <c r="V63" s="239">
        <v>46062.0</v>
      </c>
      <c r="W63" s="239">
        <v>46066.0</v>
      </c>
      <c r="X63" s="236">
        <f t="shared" si="2"/>
        <v>4</v>
      </c>
      <c r="Y63" s="239">
        <v>46070.0</v>
      </c>
      <c r="Z63" s="236">
        <f t="shared" si="3"/>
        <v>4</v>
      </c>
      <c r="AA63" s="236"/>
      <c r="AB63" s="236"/>
      <c r="AC63" s="236"/>
    </row>
    <row r="64" ht="13.5" customHeight="1">
      <c r="A64" s="227">
        <v>66.0</v>
      </c>
      <c r="B64" s="228" t="s">
        <v>267</v>
      </c>
      <c r="C64" s="256" t="s">
        <v>256</v>
      </c>
      <c r="D64" s="230">
        <v>183.0</v>
      </c>
      <c r="E64" s="230">
        <v>307.0</v>
      </c>
      <c r="F64" s="231">
        <v>503.25</v>
      </c>
      <c r="G64" s="232"/>
      <c r="H64" s="233" t="s">
        <v>367</v>
      </c>
      <c r="I64" s="233" t="s">
        <v>368</v>
      </c>
      <c r="J64" s="258" t="s">
        <v>396</v>
      </c>
      <c r="K64" s="233"/>
      <c r="L64" s="242"/>
      <c r="M64" s="235" t="str">
        <f t="shared" si="1"/>
        <v>Vigente</v>
      </c>
      <c r="N64" s="236"/>
      <c r="O64" s="236"/>
      <c r="P64" s="236"/>
      <c r="Q64" s="237">
        <v>46074.0</v>
      </c>
      <c r="R64" s="237">
        <v>46438.0</v>
      </c>
      <c r="S64" s="236">
        <f t="shared" si="4"/>
        <v>1</v>
      </c>
      <c r="T64" s="238">
        <v>46054.0</v>
      </c>
      <c r="U64" s="239">
        <v>46056.0</v>
      </c>
      <c r="V64" s="239">
        <v>46056.0</v>
      </c>
      <c r="W64" s="239">
        <v>46060.0</v>
      </c>
      <c r="X64" s="236">
        <f t="shared" si="2"/>
        <v>4</v>
      </c>
      <c r="Y64" s="243">
        <v>46064.0</v>
      </c>
      <c r="Z64" s="236">
        <f t="shared" si="3"/>
        <v>4</v>
      </c>
      <c r="AA64" s="236"/>
      <c r="AB64" s="236"/>
      <c r="AC64" s="236"/>
    </row>
    <row r="65" ht="13.5" customHeight="1">
      <c r="A65" s="227">
        <v>67.0</v>
      </c>
      <c r="B65" s="228" t="s">
        <v>268</v>
      </c>
      <c r="C65" s="256" t="s">
        <v>269</v>
      </c>
      <c r="D65" s="230">
        <v>757.0</v>
      </c>
      <c r="E65" s="230">
        <v>452.0</v>
      </c>
      <c r="F65" s="231">
        <v>499.77</v>
      </c>
      <c r="G65" s="232"/>
      <c r="H65" s="233" t="s">
        <v>367</v>
      </c>
      <c r="I65" s="233" t="s">
        <v>388</v>
      </c>
      <c r="J65" s="258" t="s">
        <v>397</v>
      </c>
      <c r="K65" s="233"/>
      <c r="L65" s="242"/>
      <c r="M65" s="263" t="str">
        <f t="shared" si="1"/>
        <v/>
      </c>
      <c r="N65" s="236"/>
      <c r="O65" s="236"/>
      <c r="P65" s="236"/>
      <c r="Q65" s="236"/>
      <c r="R65" s="236"/>
      <c r="S65" s="236">
        <f t="shared" ref="S65:S85" si="5">(R65-Q65)/365</f>
        <v>0</v>
      </c>
      <c r="T65" s="236"/>
      <c r="U65" s="236"/>
      <c r="V65" s="236"/>
      <c r="W65" s="236"/>
      <c r="X65" s="236">
        <f t="shared" si="2"/>
        <v>0</v>
      </c>
      <c r="Y65" s="236"/>
      <c r="Z65" s="236">
        <f t="shared" ref="Z65:Z85" si="6">Y65-X65</f>
        <v>0</v>
      </c>
      <c r="AA65" s="236"/>
      <c r="AB65" s="236"/>
      <c r="AC65" s="236"/>
    </row>
    <row r="66" ht="13.5" customHeight="1">
      <c r="A66" s="227">
        <v>68.0</v>
      </c>
      <c r="B66" s="228" t="s">
        <v>270</v>
      </c>
      <c r="C66" s="256" t="s">
        <v>269</v>
      </c>
      <c r="D66" s="246"/>
      <c r="E66" s="246"/>
      <c r="F66" s="231">
        <v>499.98</v>
      </c>
      <c r="G66" s="232"/>
      <c r="H66" s="233" t="s">
        <v>372</v>
      </c>
      <c r="I66" s="233" t="s">
        <v>381</v>
      </c>
      <c r="J66" s="257">
        <v>44081.0</v>
      </c>
      <c r="K66" s="233"/>
      <c r="L66" s="242"/>
      <c r="M66" s="263" t="str">
        <f t="shared" si="1"/>
        <v/>
      </c>
      <c r="N66" s="236"/>
      <c r="O66" s="236"/>
      <c r="P66" s="236"/>
      <c r="Q66" s="236"/>
      <c r="R66" s="236"/>
      <c r="S66" s="236">
        <f t="shared" si="5"/>
        <v>0</v>
      </c>
      <c r="T66" s="238"/>
      <c r="U66" s="236"/>
      <c r="V66" s="236"/>
      <c r="W66" s="236"/>
      <c r="X66" s="236">
        <f t="shared" si="2"/>
        <v>0</v>
      </c>
      <c r="Y66" s="236"/>
      <c r="Z66" s="236">
        <f t="shared" si="6"/>
        <v>0</v>
      </c>
      <c r="AA66" s="236"/>
      <c r="AB66" s="236"/>
      <c r="AC66" s="236"/>
    </row>
    <row r="67" ht="13.5" customHeight="1">
      <c r="A67" s="227">
        <v>69.0</v>
      </c>
      <c r="B67" s="228" t="s">
        <v>271</v>
      </c>
      <c r="C67" s="256" t="s">
        <v>269</v>
      </c>
      <c r="D67" s="244"/>
      <c r="E67" s="230">
        <v>515.0</v>
      </c>
      <c r="F67" s="231">
        <v>624.91</v>
      </c>
      <c r="G67" s="232"/>
      <c r="H67" s="233" t="s">
        <v>367</v>
      </c>
      <c r="I67" s="233" t="s">
        <v>388</v>
      </c>
      <c r="J67" s="257">
        <v>43926.0</v>
      </c>
      <c r="K67" s="233"/>
      <c r="L67" s="242"/>
      <c r="M67" s="263" t="str">
        <f t="shared" si="1"/>
        <v/>
      </c>
      <c r="N67" s="236"/>
      <c r="O67" s="236"/>
      <c r="P67" s="236"/>
      <c r="Q67" s="236"/>
      <c r="R67" s="236"/>
      <c r="S67" s="236">
        <f t="shared" si="5"/>
        <v>0</v>
      </c>
      <c r="T67" s="236"/>
      <c r="U67" s="236"/>
      <c r="V67" s="236"/>
      <c r="W67" s="236"/>
      <c r="X67" s="236">
        <f t="shared" si="2"/>
        <v>0</v>
      </c>
      <c r="Y67" s="236"/>
      <c r="Z67" s="236">
        <f t="shared" si="6"/>
        <v>0</v>
      </c>
      <c r="AA67" s="236"/>
      <c r="AB67" s="236"/>
      <c r="AC67" s="236"/>
    </row>
    <row r="68" ht="13.5" customHeight="1">
      <c r="A68" s="227">
        <v>70.0</v>
      </c>
      <c r="B68" s="228" t="s">
        <v>272</v>
      </c>
      <c r="C68" s="256" t="s">
        <v>269</v>
      </c>
      <c r="D68" s="244"/>
      <c r="E68" s="230">
        <v>539.0</v>
      </c>
      <c r="F68" s="231">
        <v>498.96</v>
      </c>
      <c r="G68" s="232"/>
      <c r="H68" s="233" t="s">
        <v>367</v>
      </c>
      <c r="I68" s="233" t="s">
        <v>368</v>
      </c>
      <c r="J68" s="257">
        <v>44017.0</v>
      </c>
      <c r="K68" s="233"/>
      <c r="L68" s="242"/>
      <c r="M68" s="263" t="str">
        <f t="shared" si="1"/>
        <v/>
      </c>
      <c r="N68" s="236"/>
      <c r="O68" s="236"/>
      <c r="P68" s="236"/>
      <c r="Q68" s="236"/>
      <c r="R68" s="236"/>
      <c r="S68" s="236">
        <f t="shared" si="5"/>
        <v>0</v>
      </c>
      <c r="T68" s="236"/>
      <c r="U68" s="236"/>
      <c r="V68" s="236"/>
      <c r="W68" s="236"/>
      <c r="X68" s="236">
        <f t="shared" si="2"/>
        <v>0</v>
      </c>
      <c r="Y68" s="236"/>
      <c r="Z68" s="236">
        <f t="shared" si="6"/>
        <v>0</v>
      </c>
      <c r="AA68" s="236"/>
      <c r="AB68" s="236"/>
      <c r="AC68" s="236"/>
    </row>
    <row r="69" ht="13.5" customHeight="1">
      <c r="A69" s="227">
        <v>71.0</v>
      </c>
      <c r="B69" s="228" t="s">
        <v>273</v>
      </c>
      <c r="C69" s="256" t="s">
        <v>269</v>
      </c>
      <c r="D69" s="264"/>
      <c r="E69" s="230">
        <v>454.0</v>
      </c>
      <c r="F69" s="231">
        <v>624.24</v>
      </c>
      <c r="G69" s="232"/>
      <c r="H69" s="233" t="s">
        <v>372</v>
      </c>
      <c r="I69" s="233" t="s">
        <v>373</v>
      </c>
      <c r="J69" s="265">
        <v>44116.0</v>
      </c>
      <c r="K69" s="233"/>
      <c r="L69" s="242"/>
      <c r="M69" s="263" t="str">
        <f t="shared" si="1"/>
        <v/>
      </c>
      <c r="N69" s="236"/>
      <c r="O69" s="236"/>
      <c r="P69" s="236"/>
      <c r="Q69" s="236"/>
      <c r="R69" s="236"/>
      <c r="S69" s="236">
        <f t="shared" si="5"/>
        <v>0</v>
      </c>
      <c r="T69" s="236"/>
      <c r="U69" s="236"/>
      <c r="V69" s="236"/>
      <c r="W69" s="236"/>
      <c r="X69" s="236">
        <f t="shared" si="2"/>
        <v>0</v>
      </c>
      <c r="Y69" s="236"/>
      <c r="Z69" s="236">
        <f t="shared" si="6"/>
        <v>0</v>
      </c>
      <c r="AA69" s="236"/>
      <c r="AB69" s="236"/>
      <c r="AC69" s="236"/>
    </row>
    <row r="70" ht="13.5" customHeight="1">
      <c r="A70" s="227">
        <v>72.0</v>
      </c>
      <c r="B70" s="228" t="s">
        <v>274</v>
      </c>
      <c r="C70" s="256" t="s">
        <v>269</v>
      </c>
      <c r="D70" s="244"/>
      <c r="E70" s="230">
        <v>413.0</v>
      </c>
      <c r="F70" s="231">
        <v>498.96</v>
      </c>
      <c r="G70" s="232"/>
      <c r="H70" s="233" t="s">
        <v>385</v>
      </c>
      <c r="I70" s="233" t="s">
        <v>386</v>
      </c>
      <c r="J70" s="257">
        <v>43987.0</v>
      </c>
      <c r="K70" s="233"/>
      <c r="L70" s="242"/>
      <c r="M70" s="263" t="str">
        <f t="shared" si="1"/>
        <v/>
      </c>
      <c r="N70" s="236"/>
      <c r="O70" s="236"/>
      <c r="P70" s="236"/>
      <c r="Q70" s="236"/>
      <c r="R70" s="236"/>
      <c r="S70" s="236">
        <f t="shared" si="5"/>
        <v>0</v>
      </c>
      <c r="T70" s="236"/>
      <c r="U70" s="236"/>
      <c r="V70" s="236"/>
      <c r="W70" s="236"/>
      <c r="X70" s="236">
        <f t="shared" si="2"/>
        <v>0</v>
      </c>
      <c r="Y70" s="236"/>
      <c r="Z70" s="236">
        <f t="shared" si="6"/>
        <v>0</v>
      </c>
      <c r="AA70" s="236"/>
      <c r="AB70" s="236"/>
      <c r="AC70" s="236"/>
    </row>
    <row r="71" ht="13.5" customHeight="1">
      <c r="A71" s="227">
        <v>73.0</v>
      </c>
      <c r="B71" s="228" t="s">
        <v>275</v>
      </c>
      <c r="C71" s="256" t="s">
        <v>269</v>
      </c>
      <c r="D71" s="244"/>
      <c r="E71" s="230">
        <v>414.0</v>
      </c>
      <c r="F71" s="231">
        <v>624.8</v>
      </c>
      <c r="G71" s="232"/>
      <c r="H71" s="233" t="s">
        <v>367</v>
      </c>
      <c r="I71" s="233" t="s">
        <v>388</v>
      </c>
      <c r="J71" s="258" t="s">
        <v>398</v>
      </c>
      <c r="K71" s="233"/>
      <c r="L71" s="242"/>
      <c r="M71" s="263" t="str">
        <f t="shared" si="1"/>
        <v/>
      </c>
      <c r="N71" s="236"/>
      <c r="O71" s="236"/>
      <c r="P71" s="236"/>
      <c r="Q71" s="236"/>
      <c r="R71" s="236"/>
      <c r="S71" s="236">
        <f t="shared" si="5"/>
        <v>0</v>
      </c>
      <c r="T71" s="236"/>
      <c r="U71" s="236"/>
      <c r="V71" s="236"/>
      <c r="W71" s="236"/>
      <c r="X71" s="236">
        <f t="shared" si="2"/>
        <v>0</v>
      </c>
      <c r="Y71" s="236"/>
      <c r="Z71" s="236">
        <f t="shared" si="6"/>
        <v>0</v>
      </c>
      <c r="AA71" s="236"/>
      <c r="AB71" s="236"/>
      <c r="AC71" s="236"/>
    </row>
    <row r="72" ht="13.5" customHeight="1">
      <c r="A72" s="227">
        <v>74.0</v>
      </c>
      <c r="B72" s="228" t="s">
        <v>276</v>
      </c>
      <c r="C72" s="256" t="s">
        <v>269</v>
      </c>
      <c r="D72" s="230">
        <v>859.0</v>
      </c>
      <c r="E72" s="230">
        <v>229.0</v>
      </c>
      <c r="F72" s="231">
        <v>499.98</v>
      </c>
      <c r="G72" s="232"/>
      <c r="H72" s="233" t="s">
        <v>367</v>
      </c>
      <c r="I72" s="233" t="s">
        <v>388</v>
      </c>
      <c r="J72" s="257">
        <v>43837.0</v>
      </c>
      <c r="K72" s="233"/>
      <c r="L72" s="242"/>
      <c r="M72" s="263" t="str">
        <f t="shared" si="1"/>
        <v/>
      </c>
      <c r="N72" s="236"/>
      <c r="O72" s="236"/>
      <c r="P72" s="236"/>
      <c r="Q72" s="236"/>
      <c r="R72" s="236"/>
      <c r="S72" s="236">
        <f t="shared" si="5"/>
        <v>0</v>
      </c>
      <c r="T72" s="236"/>
      <c r="U72" s="236"/>
      <c r="V72" s="236"/>
      <c r="W72" s="236"/>
      <c r="X72" s="236">
        <f t="shared" si="2"/>
        <v>0</v>
      </c>
      <c r="Y72" s="236"/>
      <c r="Z72" s="236">
        <f t="shared" si="6"/>
        <v>0</v>
      </c>
      <c r="AA72" s="236"/>
      <c r="AB72" s="236"/>
      <c r="AC72" s="236"/>
    </row>
    <row r="73" ht="13.5" customHeight="1">
      <c r="A73" s="227">
        <v>75.0</v>
      </c>
      <c r="B73" s="228" t="s">
        <v>277</v>
      </c>
      <c r="C73" s="256" t="s">
        <v>269</v>
      </c>
      <c r="D73" s="244"/>
      <c r="E73" s="230">
        <v>335.0</v>
      </c>
      <c r="F73" s="231">
        <v>498.96</v>
      </c>
      <c r="G73" s="232"/>
      <c r="H73" s="233" t="s">
        <v>372</v>
      </c>
      <c r="I73" s="233" t="s">
        <v>381</v>
      </c>
      <c r="J73" s="258" t="s">
        <v>399</v>
      </c>
      <c r="K73" s="233"/>
      <c r="L73" s="242"/>
      <c r="M73" s="263" t="str">
        <f t="shared" si="1"/>
        <v/>
      </c>
      <c r="N73" s="236"/>
      <c r="O73" s="236"/>
      <c r="P73" s="236"/>
      <c r="Q73" s="236"/>
      <c r="R73" s="236"/>
      <c r="S73" s="236">
        <f t="shared" si="5"/>
        <v>0</v>
      </c>
      <c r="T73" s="236"/>
      <c r="U73" s="236"/>
      <c r="V73" s="236"/>
      <c r="W73" s="236"/>
      <c r="X73" s="236">
        <f t="shared" si="2"/>
        <v>0</v>
      </c>
      <c r="Y73" s="236"/>
      <c r="Z73" s="236">
        <f t="shared" si="6"/>
        <v>0</v>
      </c>
      <c r="AA73" s="236"/>
      <c r="AB73" s="236"/>
      <c r="AC73" s="236"/>
    </row>
    <row r="74" ht="13.5" customHeight="1">
      <c r="A74" s="227">
        <v>76.0</v>
      </c>
      <c r="B74" s="228" t="s">
        <v>278</v>
      </c>
      <c r="C74" s="256" t="s">
        <v>269</v>
      </c>
      <c r="D74" s="230">
        <v>133.0</v>
      </c>
      <c r="E74" s="230">
        <v>293.0</v>
      </c>
      <c r="F74" s="231">
        <v>499.77</v>
      </c>
      <c r="G74" s="232"/>
      <c r="H74" s="233" t="s">
        <v>378</v>
      </c>
      <c r="I74" s="233" t="s">
        <v>379</v>
      </c>
      <c r="J74" s="257">
        <v>44113.0</v>
      </c>
      <c r="K74" s="233"/>
      <c r="L74" s="242"/>
      <c r="M74" s="263" t="str">
        <f t="shared" si="1"/>
        <v/>
      </c>
      <c r="N74" s="236"/>
      <c r="O74" s="236"/>
      <c r="P74" s="236"/>
      <c r="Q74" s="236"/>
      <c r="R74" s="236"/>
      <c r="S74" s="236">
        <f t="shared" si="5"/>
        <v>0</v>
      </c>
      <c r="T74" s="236"/>
      <c r="U74" s="236"/>
      <c r="V74" s="236"/>
      <c r="W74" s="236"/>
      <c r="X74" s="236">
        <f t="shared" si="2"/>
        <v>0</v>
      </c>
      <c r="Y74" s="236"/>
      <c r="Z74" s="236">
        <f t="shared" si="6"/>
        <v>0</v>
      </c>
      <c r="AA74" s="236"/>
      <c r="AB74" s="236"/>
      <c r="AC74" s="236"/>
    </row>
    <row r="75" ht="13.5" customHeight="1">
      <c r="A75" s="227">
        <v>77.0</v>
      </c>
      <c r="B75" s="228" t="s">
        <v>279</v>
      </c>
      <c r="C75" s="256" t="s">
        <v>269</v>
      </c>
      <c r="D75" s="244"/>
      <c r="E75" s="230">
        <v>297.0</v>
      </c>
      <c r="F75" s="231">
        <v>624.91</v>
      </c>
      <c r="G75" s="232"/>
      <c r="H75" s="233" t="s">
        <v>378</v>
      </c>
      <c r="I75" s="233" t="s">
        <v>379</v>
      </c>
      <c r="J75" s="257">
        <v>43866.0</v>
      </c>
      <c r="K75" s="233"/>
      <c r="L75" s="242"/>
      <c r="M75" s="263" t="str">
        <f t="shared" si="1"/>
        <v/>
      </c>
      <c r="N75" s="236"/>
      <c r="O75" s="236"/>
      <c r="P75" s="236"/>
      <c r="Q75" s="236"/>
      <c r="R75" s="236"/>
      <c r="S75" s="236">
        <f t="shared" si="5"/>
        <v>0</v>
      </c>
      <c r="T75" s="236"/>
      <c r="U75" s="236"/>
      <c r="V75" s="236"/>
      <c r="W75" s="236"/>
      <c r="X75" s="236">
        <f t="shared" si="2"/>
        <v>0</v>
      </c>
      <c r="Y75" s="236"/>
      <c r="Z75" s="236">
        <f t="shared" si="6"/>
        <v>0</v>
      </c>
      <c r="AA75" s="236"/>
      <c r="AB75" s="236"/>
      <c r="AC75" s="236"/>
    </row>
    <row r="76" ht="13.5" customHeight="1">
      <c r="A76" s="227">
        <v>78.0</v>
      </c>
      <c r="B76" s="228" t="s">
        <v>280</v>
      </c>
      <c r="C76" s="256" t="s">
        <v>269</v>
      </c>
      <c r="D76" s="244"/>
      <c r="E76" s="230">
        <v>298.0</v>
      </c>
      <c r="F76" s="231">
        <v>499.98</v>
      </c>
      <c r="G76" s="232"/>
      <c r="H76" s="233" t="s">
        <v>378</v>
      </c>
      <c r="I76" s="233" t="s">
        <v>379</v>
      </c>
      <c r="J76" s="257">
        <v>44142.0</v>
      </c>
      <c r="K76" s="233"/>
      <c r="L76" s="242"/>
      <c r="M76" s="263" t="str">
        <f t="shared" si="1"/>
        <v/>
      </c>
      <c r="N76" s="236"/>
      <c r="O76" s="236"/>
      <c r="P76" s="236"/>
      <c r="Q76" s="236"/>
      <c r="R76" s="236"/>
      <c r="S76" s="236">
        <f t="shared" si="5"/>
        <v>0</v>
      </c>
      <c r="T76" s="236"/>
      <c r="U76" s="236"/>
      <c r="V76" s="236"/>
      <c r="W76" s="236"/>
      <c r="X76" s="236">
        <f t="shared" si="2"/>
        <v>0</v>
      </c>
      <c r="Y76" s="236"/>
      <c r="Z76" s="236">
        <f t="shared" si="6"/>
        <v>0</v>
      </c>
      <c r="AA76" s="236"/>
      <c r="AB76" s="236"/>
      <c r="AC76" s="236"/>
    </row>
    <row r="77" ht="13.5" customHeight="1">
      <c r="A77" s="227">
        <v>79.0</v>
      </c>
      <c r="B77" s="228" t="s">
        <v>281</v>
      </c>
      <c r="C77" s="256" t="s">
        <v>269</v>
      </c>
      <c r="D77" s="230">
        <v>223.0</v>
      </c>
      <c r="E77" s="230">
        <v>410.0</v>
      </c>
      <c r="F77" s="231">
        <v>625.93</v>
      </c>
      <c r="G77" s="232"/>
      <c r="H77" s="233" t="s">
        <v>372</v>
      </c>
      <c r="I77" s="233" t="s">
        <v>387</v>
      </c>
      <c r="J77" s="258" t="s">
        <v>400</v>
      </c>
      <c r="K77" s="233"/>
      <c r="L77" s="242"/>
      <c r="M77" s="263" t="str">
        <f t="shared" si="1"/>
        <v/>
      </c>
      <c r="N77" s="236"/>
      <c r="O77" s="236"/>
      <c r="P77" s="236"/>
      <c r="Q77" s="236"/>
      <c r="R77" s="236"/>
      <c r="S77" s="236">
        <f t="shared" si="5"/>
        <v>0</v>
      </c>
      <c r="T77" s="236"/>
      <c r="U77" s="236"/>
      <c r="V77" s="236"/>
      <c r="W77" s="236"/>
      <c r="X77" s="236">
        <f t="shared" si="2"/>
        <v>0</v>
      </c>
      <c r="Y77" s="236"/>
      <c r="Z77" s="236">
        <f t="shared" si="6"/>
        <v>0</v>
      </c>
      <c r="AA77" s="236"/>
      <c r="AB77" s="236"/>
      <c r="AC77" s="236"/>
    </row>
    <row r="78" ht="13.5" customHeight="1">
      <c r="A78" s="227">
        <v>80.0</v>
      </c>
      <c r="B78" s="228" t="s">
        <v>282</v>
      </c>
      <c r="C78" s="256" t="s">
        <v>269</v>
      </c>
      <c r="D78" s="230">
        <v>233.0</v>
      </c>
      <c r="E78" s="230">
        <v>294.0</v>
      </c>
      <c r="F78" s="231">
        <v>499.77</v>
      </c>
      <c r="G78" s="232"/>
      <c r="H78" s="233" t="s">
        <v>372</v>
      </c>
      <c r="I78" s="233" t="s">
        <v>381</v>
      </c>
      <c r="J78" s="258" t="s">
        <v>401</v>
      </c>
      <c r="K78" s="233"/>
      <c r="L78" s="242"/>
      <c r="M78" s="263" t="str">
        <f t="shared" si="1"/>
        <v/>
      </c>
      <c r="N78" s="236"/>
      <c r="O78" s="236"/>
      <c r="P78" s="236"/>
      <c r="Q78" s="236"/>
      <c r="R78" s="236"/>
      <c r="S78" s="236">
        <f t="shared" si="5"/>
        <v>0</v>
      </c>
      <c r="T78" s="236"/>
      <c r="U78" s="236"/>
      <c r="V78" s="236"/>
      <c r="W78" s="236"/>
      <c r="X78" s="236">
        <f t="shared" si="2"/>
        <v>0</v>
      </c>
      <c r="Y78" s="236"/>
      <c r="Z78" s="236">
        <f t="shared" si="6"/>
        <v>0</v>
      </c>
      <c r="AA78" s="236"/>
      <c r="AB78" s="236"/>
      <c r="AC78" s="236"/>
    </row>
    <row r="79" ht="13.5" customHeight="1">
      <c r="A79" s="227">
        <v>81.0</v>
      </c>
      <c r="B79" s="228" t="s">
        <v>283</v>
      </c>
      <c r="C79" s="256" t="s">
        <v>269</v>
      </c>
      <c r="D79" s="266">
        <v>206.0</v>
      </c>
      <c r="E79" s="262">
        <v>296.0</v>
      </c>
      <c r="F79" s="231">
        <v>624.91</v>
      </c>
      <c r="G79" s="232"/>
      <c r="H79" s="233" t="s">
        <v>372</v>
      </c>
      <c r="I79" s="233" t="s">
        <v>381</v>
      </c>
      <c r="J79" s="257">
        <v>43926.0</v>
      </c>
      <c r="K79" s="233"/>
      <c r="L79" s="242"/>
      <c r="M79" s="263" t="str">
        <f t="shared" si="1"/>
        <v/>
      </c>
      <c r="N79" s="236"/>
      <c r="O79" s="236"/>
      <c r="P79" s="236"/>
      <c r="Q79" s="236"/>
      <c r="R79" s="236"/>
      <c r="S79" s="236">
        <f t="shared" si="5"/>
        <v>0</v>
      </c>
      <c r="T79" s="236"/>
      <c r="U79" s="236"/>
      <c r="V79" s="236"/>
      <c r="W79" s="236"/>
      <c r="X79" s="236">
        <f t="shared" si="2"/>
        <v>0</v>
      </c>
      <c r="Y79" s="236"/>
      <c r="Z79" s="236">
        <f t="shared" si="6"/>
        <v>0</v>
      </c>
      <c r="AA79" s="236"/>
      <c r="AB79" s="236"/>
      <c r="AC79" s="236"/>
    </row>
    <row r="80" ht="13.5" customHeight="1">
      <c r="A80" s="227">
        <v>82.0</v>
      </c>
      <c r="B80" s="228" t="s">
        <v>284</v>
      </c>
      <c r="C80" s="256" t="s">
        <v>269</v>
      </c>
      <c r="D80" s="262">
        <v>843.0</v>
      </c>
      <c r="E80" s="262">
        <v>887.0</v>
      </c>
      <c r="F80" s="231">
        <v>624.83</v>
      </c>
      <c r="G80" s="232"/>
      <c r="H80" s="233" t="s">
        <v>378</v>
      </c>
      <c r="I80" s="233" t="s">
        <v>379</v>
      </c>
      <c r="J80" s="257">
        <v>43928.0</v>
      </c>
      <c r="K80" s="233"/>
      <c r="L80" s="242"/>
      <c r="M80" s="263" t="str">
        <f t="shared" si="1"/>
        <v/>
      </c>
      <c r="N80" s="236"/>
      <c r="O80" s="236"/>
      <c r="P80" s="236"/>
      <c r="Q80" s="236"/>
      <c r="R80" s="236"/>
      <c r="S80" s="236">
        <f t="shared" si="5"/>
        <v>0</v>
      </c>
      <c r="T80" s="236"/>
      <c r="U80" s="236"/>
      <c r="V80" s="236"/>
      <c r="W80" s="236"/>
      <c r="X80" s="236">
        <f t="shared" si="2"/>
        <v>0</v>
      </c>
      <c r="Y80" s="236"/>
      <c r="Z80" s="236">
        <f t="shared" si="6"/>
        <v>0</v>
      </c>
      <c r="AA80" s="236"/>
      <c r="AB80" s="236"/>
      <c r="AC80" s="236"/>
    </row>
    <row r="81" ht="13.5" customHeight="1">
      <c r="A81" s="227">
        <v>83.0</v>
      </c>
      <c r="B81" s="228" t="s">
        <v>285</v>
      </c>
      <c r="C81" s="256" t="s">
        <v>269</v>
      </c>
      <c r="D81" s="267"/>
      <c r="E81" s="267"/>
      <c r="F81" s="231">
        <v>499.98</v>
      </c>
      <c r="G81" s="232"/>
      <c r="H81" s="233" t="s">
        <v>372</v>
      </c>
      <c r="I81" s="233" t="s">
        <v>381</v>
      </c>
      <c r="J81" s="258" t="s">
        <v>397</v>
      </c>
      <c r="K81" s="233"/>
      <c r="L81" s="242"/>
      <c r="M81" s="263" t="str">
        <f t="shared" si="1"/>
        <v/>
      </c>
      <c r="N81" s="236"/>
      <c r="O81" s="236"/>
      <c r="P81" s="236"/>
      <c r="Q81" s="236"/>
      <c r="R81" s="236"/>
      <c r="S81" s="236">
        <f t="shared" si="5"/>
        <v>0</v>
      </c>
      <c r="T81" s="236"/>
      <c r="U81" s="236"/>
      <c r="V81" s="236"/>
      <c r="W81" s="236"/>
      <c r="X81" s="236">
        <f t="shared" si="2"/>
        <v>0</v>
      </c>
      <c r="Y81" s="236"/>
      <c r="Z81" s="236">
        <f t="shared" si="6"/>
        <v>0</v>
      </c>
      <c r="AA81" s="236"/>
      <c r="AB81" s="236"/>
      <c r="AC81" s="236"/>
    </row>
    <row r="82" ht="13.5" customHeight="1">
      <c r="A82" s="227">
        <v>84.0</v>
      </c>
      <c r="B82" s="228" t="s">
        <v>286</v>
      </c>
      <c r="C82" s="256" t="s">
        <v>269</v>
      </c>
      <c r="D82" s="244"/>
      <c r="E82" s="230">
        <v>331.0</v>
      </c>
      <c r="F82" s="231">
        <v>363.09</v>
      </c>
      <c r="G82" s="232"/>
      <c r="H82" s="233" t="s">
        <v>372</v>
      </c>
      <c r="I82" s="233" t="s">
        <v>381</v>
      </c>
      <c r="J82" s="257">
        <v>44318.0</v>
      </c>
      <c r="K82" s="233"/>
      <c r="L82" s="242"/>
      <c r="M82" s="263" t="str">
        <f t="shared" si="1"/>
        <v/>
      </c>
      <c r="N82" s="236"/>
      <c r="O82" s="236"/>
      <c r="P82" s="236"/>
      <c r="Q82" s="236"/>
      <c r="R82" s="236"/>
      <c r="S82" s="236">
        <f t="shared" si="5"/>
        <v>0</v>
      </c>
      <c r="T82" s="236"/>
      <c r="U82" s="236"/>
      <c r="V82" s="236"/>
      <c r="W82" s="236"/>
      <c r="X82" s="236">
        <f t="shared" si="2"/>
        <v>0</v>
      </c>
      <c r="Y82" s="236"/>
      <c r="Z82" s="236">
        <f t="shared" si="6"/>
        <v>0</v>
      </c>
      <c r="AA82" s="236"/>
      <c r="AB82" s="236"/>
      <c r="AC82" s="236"/>
    </row>
    <row r="83" ht="13.5" customHeight="1">
      <c r="A83" s="227">
        <v>85.0</v>
      </c>
      <c r="B83" s="228" t="s">
        <v>287</v>
      </c>
      <c r="C83" s="256" t="s">
        <v>269</v>
      </c>
      <c r="D83" s="230">
        <v>759.0</v>
      </c>
      <c r="E83" s="230">
        <v>330.0</v>
      </c>
      <c r="F83" s="231">
        <v>481.26</v>
      </c>
      <c r="G83" s="232"/>
      <c r="H83" s="233" t="s">
        <v>372</v>
      </c>
      <c r="I83" s="233" t="s">
        <v>381</v>
      </c>
      <c r="J83" s="258" t="s">
        <v>402</v>
      </c>
      <c r="K83" s="233"/>
      <c r="L83" s="242"/>
      <c r="M83" s="263" t="str">
        <f t="shared" si="1"/>
        <v/>
      </c>
      <c r="N83" s="236"/>
      <c r="O83" s="236"/>
      <c r="P83" s="236"/>
      <c r="Q83" s="236"/>
      <c r="R83" s="236"/>
      <c r="S83" s="236">
        <f t="shared" si="5"/>
        <v>0</v>
      </c>
      <c r="T83" s="236"/>
      <c r="U83" s="236"/>
      <c r="V83" s="236"/>
      <c r="W83" s="236"/>
      <c r="X83" s="236">
        <f t="shared" si="2"/>
        <v>0</v>
      </c>
      <c r="Y83" s="236"/>
      <c r="Z83" s="236">
        <f t="shared" si="6"/>
        <v>0</v>
      </c>
      <c r="AA83" s="236"/>
      <c r="AB83" s="236"/>
      <c r="AC83" s="236"/>
    </row>
    <row r="84" ht="13.5" customHeight="1">
      <c r="A84" s="227">
        <v>86.0</v>
      </c>
      <c r="B84" s="228" t="s">
        <v>288</v>
      </c>
      <c r="C84" s="256" t="s">
        <v>269</v>
      </c>
      <c r="D84" s="230">
        <v>752.0</v>
      </c>
      <c r="E84" s="230">
        <v>336.0</v>
      </c>
      <c r="F84" s="231">
        <v>499.77</v>
      </c>
      <c r="G84" s="232"/>
      <c r="H84" s="233" t="s">
        <v>372</v>
      </c>
      <c r="I84" s="233" t="s">
        <v>381</v>
      </c>
      <c r="J84" s="258" t="s">
        <v>403</v>
      </c>
      <c r="K84" s="233"/>
      <c r="L84" s="242"/>
      <c r="M84" s="263" t="str">
        <f t="shared" si="1"/>
        <v/>
      </c>
      <c r="N84" s="236"/>
      <c r="O84" s="236"/>
      <c r="P84" s="236"/>
      <c r="Q84" s="236"/>
      <c r="R84" s="236"/>
      <c r="S84" s="236">
        <f t="shared" si="5"/>
        <v>0</v>
      </c>
      <c r="T84" s="236"/>
      <c r="U84" s="236"/>
      <c r="V84" s="236"/>
      <c r="W84" s="236"/>
      <c r="X84" s="236">
        <f t="shared" si="2"/>
        <v>0</v>
      </c>
      <c r="Y84" s="236"/>
      <c r="Z84" s="236">
        <f t="shared" si="6"/>
        <v>0</v>
      </c>
      <c r="AA84" s="236"/>
      <c r="AB84" s="236"/>
      <c r="AC84" s="236"/>
    </row>
    <row r="85" ht="13.5" customHeight="1">
      <c r="A85" s="227">
        <v>87.0</v>
      </c>
      <c r="B85" s="228" t="s">
        <v>289</v>
      </c>
      <c r="C85" s="256" t="s">
        <v>269</v>
      </c>
      <c r="D85" s="268">
        <v>754.0</v>
      </c>
      <c r="E85" s="268">
        <v>373.0</v>
      </c>
      <c r="F85" s="231">
        <v>624.83</v>
      </c>
      <c r="G85" s="232"/>
      <c r="H85" s="233" t="s">
        <v>367</v>
      </c>
      <c r="I85" s="233" t="s">
        <v>368</v>
      </c>
      <c r="J85" s="258" t="s">
        <v>404</v>
      </c>
      <c r="K85" s="233"/>
      <c r="L85" s="242"/>
      <c r="M85" s="263" t="str">
        <f t="shared" si="1"/>
        <v/>
      </c>
      <c r="N85" s="236"/>
      <c r="O85" s="236"/>
      <c r="P85" s="236"/>
      <c r="Q85" s="236"/>
      <c r="R85" s="236"/>
      <c r="S85" s="236">
        <f t="shared" si="5"/>
        <v>0</v>
      </c>
      <c r="T85" s="236"/>
      <c r="U85" s="236"/>
      <c r="V85" s="236"/>
      <c r="W85" s="236"/>
      <c r="X85" s="236">
        <f t="shared" si="2"/>
        <v>0</v>
      </c>
      <c r="Y85" s="236"/>
      <c r="Z85" s="236">
        <f t="shared" si="6"/>
        <v>0</v>
      </c>
      <c r="AA85" s="236"/>
      <c r="AB85" s="236"/>
      <c r="AC85" s="236"/>
    </row>
    <row r="86" ht="13.5" customHeight="1">
      <c r="A86" s="227">
        <v>88.0</v>
      </c>
      <c r="B86" s="228" t="s">
        <v>290</v>
      </c>
      <c r="C86" s="256" t="s">
        <v>291</v>
      </c>
      <c r="D86" s="230">
        <v>170.0</v>
      </c>
      <c r="E86" s="230">
        <v>804.0</v>
      </c>
      <c r="F86" s="231">
        <v>440.0</v>
      </c>
      <c r="G86" s="232"/>
      <c r="H86" s="233" t="s">
        <v>372</v>
      </c>
      <c r="I86" s="233" t="s">
        <v>375</v>
      </c>
      <c r="J86" s="257">
        <v>45326.0</v>
      </c>
      <c r="K86" s="233"/>
      <c r="L86" s="242"/>
      <c r="M86" s="235" t="str">
        <f t="shared" si="1"/>
        <v>Vencimiento reciente</v>
      </c>
      <c r="N86" s="236"/>
      <c r="O86" s="236"/>
      <c r="P86" s="236"/>
      <c r="Q86" s="237">
        <v>45819.0</v>
      </c>
      <c r="R86" s="237">
        <v>46183.0</v>
      </c>
      <c r="S86" s="236">
        <f t="shared" ref="S86:S186" si="7">ROUND((R86-Q86)/365,0)</f>
        <v>1</v>
      </c>
      <c r="T86" s="238">
        <v>46023.0</v>
      </c>
      <c r="U86" s="239">
        <v>46048.0</v>
      </c>
      <c r="V86" s="239">
        <v>46048.0</v>
      </c>
      <c r="W86" s="239">
        <v>46051.0</v>
      </c>
      <c r="X86" s="236">
        <f t="shared" si="2"/>
        <v>3</v>
      </c>
      <c r="Y86" s="239">
        <v>46056.0</v>
      </c>
      <c r="Z86" s="236">
        <f t="shared" ref="Z86:Z186" si="8">Y86-W86</f>
        <v>5</v>
      </c>
      <c r="AA86" s="236"/>
      <c r="AB86" s="236"/>
      <c r="AC86" s="236"/>
    </row>
    <row r="87" ht="13.5" customHeight="1">
      <c r="A87" s="227">
        <v>89.0</v>
      </c>
      <c r="B87" s="228" t="s">
        <v>292</v>
      </c>
      <c r="C87" s="256" t="s">
        <v>291</v>
      </c>
      <c r="D87" s="244"/>
      <c r="E87" s="230">
        <v>324.0</v>
      </c>
      <c r="F87" s="231">
        <v>499.95</v>
      </c>
      <c r="G87" s="232"/>
      <c r="H87" s="233" t="s">
        <v>372</v>
      </c>
      <c r="I87" s="233" t="s">
        <v>387</v>
      </c>
      <c r="J87" s="269">
        <v>43543.0</v>
      </c>
      <c r="K87" s="233"/>
      <c r="L87" s="242"/>
      <c r="M87" s="235" t="str">
        <f t="shared" si="1"/>
        <v>Vigente</v>
      </c>
      <c r="N87" s="236"/>
      <c r="O87" s="236"/>
      <c r="P87" s="236"/>
      <c r="Q87" s="237">
        <v>46080.0</v>
      </c>
      <c r="R87" s="237">
        <v>46444.0</v>
      </c>
      <c r="S87" s="236">
        <f t="shared" si="7"/>
        <v>1</v>
      </c>
      <c r="T87" s="236"/>
      <c r="U87" s="236"/>
      <c r="V87" s="236"/>
      <c r="W87" s="236"/>
      <c r="X87" s="236">
        <f t="shared" si="2"/>
        <v>0</v>
      </c>
      <c r="Y87" s="236"/>
      <c r="Z87" s="236">
        <f t="shared" si="8"/>
        <v>0</v>
      </c>
      <c r="AA87" s="236"/>
      <c r="AB87" s="236"/>
      <c r="AC87" s="236"/>
    </row>
    <row r="88" ht="13.5" customHeight="1">
      <c r="A88" s="227">
        <v>90.0</v>
      </c>
      <c r="B88" s="228" t="s">
        <v>293</v>
      </c>
      <c r="C88" s="256" t="s">
        <v>294</v>
      </c>
      <c r="D88" s="244"/>
      <c r="E88" s="230">
        <v>492.0</v>
      </c>
      <c r="F88" s="231">
        <v>284.36</v>
      </c>
      <c r="G88" s="232"/>
      <c r="H88" s="233" t="s">
        <v>372</v>
      </c>
      <c r="I88" s="233" t="s">
        <v>375</v>
      </c>
      <c r="J88" s="258" t="s">
        <v>405</v>
      </c>
      <c r="K88" s="233"/>
      <c r="L88" s="242"/>
      <c r="M88" s="235" t="str">
        <f t="shared" si="1"/>
        <v>Vigente</v>
      </c>
      <c r="N88" s="236"/>
      <c r="O88" s="236"/>
      <c r="P88" s="236"/>
      <c r="Q88" s="237">
        <v>46071.0</v>
      </c>
      <c r="R88" s="237">
        <v>46435.0</v>
      </c>
      <c r="S88" s="236">
        <f t="shared" si="7"/>
        <v>1</v>
      </c>
      <c r="T88" s="236"/>
      <c r="U88" s="236"/>
      <c r="V88" s="236"/>
      <c r="W88" s="236"/>
      <c r="X88" s="236">
        <f t="shared" si="2"/>
        <v>0</v>
      </c>
      <c r="Y88" s="236"/>
      <c r="Z88" s="236">
        <f t="shared" si="8"/>
        <v>0</v>
      </c>
      <c r="AA88" s="236"/>
      <c r="AB88" s="236"/>
      <c r="AC88" s="236"/>
    </row>
    <row r="89" ht="13.5" customHeight="1">
      <c r="A89" s="227">
        <v>91.0</v>
      </c>
      <c r="B89" s="228" t="s">
        <v>295</v>
      </c>
      <c r="C89" s="256" t="s">
        <v>296</v>
      </c>
      <c r="D89" s="230">
        <v>157.0</v>
      </c>
      <c r="E89" s="230">
        <v>748.0</v>
      </c>
      <c r="F89" s="231">
        <v>499.74</v>
      </c>
      <c r="G89" s="232"/>
      <c r="H89" s="233" t="s">
        <v>378</v>
      </c>
      <c r="I89" s="233" t="s">
        <v>379</v>
      </c>
      <c r="J89" s="257">
        <v>45547.0</v>
      </c>
      <c r="K89" s="233"/>
      <c r="L89" s="242"/>
      <c r="M89" s="235" t="str">
        <f t="shared" si="1"/>
        <v>Vencida</v>
      </c>
      <c r="N89" s="236"/>
      <c r="O89" s="236"/>
      <c r="P89" s="236"/>
      <c r="Q89" s="237">
        <v>45755.0</v>
      </c>
      <c r="R89" s="237">
        <v>46060.0</v>
      </c>
      <c r="S89" s="236">
        <f t="shared" si="7"/>
        <v>1</v>
      </c>
      <c r="T89" s="238">
        <v>46082.0</v>
      </c>
      <c r="U89" s="239">
        <v>46104.0</v>
      </c>
      <c r="V89" s="239">
        <v>46104.0</v>
      </c>
      <c r="W89" s="239">
        <v>46109.0</v>
      </c>
      <c r="X89" s="236">
        <f t="shared" si="2"/>
        <v>5</v>
      </c>
      <c r="Y89" s="239">
        <v>46111.0</v>
      </c>
      <c r="Z89" s="236">
        <f t="shared" si="8"/>
        <v>2</v>
      </c>
      <c r="AA89" s="236"/>
      <c r="AB89" s="236"/>
      <c r="AC89" s="236"/>
    </row>
    <row r="90" ht="13.5" customHeight="1">
      <c r="A90" s="227">
        <v>92.0</v>
      </c>
      <c r="B90" s="228" t="s">
        <v>297</v>
      </c>
      <c r="C90" s="256" t="s">
        <v>298</v>
      </c>
      <c r="D90" s="244"/>
      <c r="E90" s="230">
        <v>375.0</v>
      </c>
      <c r="F90" s="231">
        <v>499.84</v>
      </c>
      <c r="G90" s="232"/>
      <c r="H90" s="233" t="s">
        <v>378</v>
      </c>
      <c r="I90" s="233" t="s">
        <v>379</v>
      </c>
      <c r="J90" s="257">
        <v>45078.0</v>
      </c>
      <c r="K90" s="233"/>
      <c r="L90" s="242"/>
      <c r="M90" s="235" t="str">
        <f t="shared" si="1"/>
        <v>Próxima a vencer</v>
      </c>
      <c r="N90" s="236"/>
      <c r="O90" s="236"/>
      <c r="P90" s="236"/>
      <c r="Q90" s="237">
        <v>45832.0</v>
      </c>
      <c r="R90" s="237">
        <v>46198.0</v>
      </c>
      <c r="S90" s="236">
        <f t="shared" si="7"/>
        <v>1</v>
      </c>
      <c r="T90" s="238">
        <v>46082.0</v>
      </c>
      <c r="U90" s="236"/>
      <c r="V90" s="236"/>
      <c r="W90" s="236"/>
      <c r="X90" s="236">
        <f t="shared" si="2"/>
        <v>0</v>
      </c>
      <c r="Y90" s="236"/>
      <c r="Z90" s="236">
        <f t="shared" si="8"/>
        <v>0</v>
      </c>
      <c r="AA90" s="236"/>
      <c r="AB90" s="236"/>
      <c r="AC90" s="236"/>
    </row>
    <row r="91" ht="13.5" customHeight="1">
      <c r="A91" s="227">
        <v>93.0</v>
      </c>
      <c r="B91" s="228" t="s">
        <v>299</v>
      </c>
      <c r="C91" s="270" t="s">
        <v>256</v>
      </c>
      <c r="D91" s="230">
        <v>147.0</v>
      </c>
      <c r="E91" s="230">
        <v>826.0</v>
      </c>
      <c r="F91" s="231">
        <v>390.5</v>
      </c>
      <c r="G91" s="232"/>
      <c r="H91" s="233" t="s">
        <v>378</v>
      </c>
      <c r="I91" s="233" t="s">
        <v>379</v>
      </c>
      <c r="J91" s="271">
        <v>45716.0</v>
      </c>
      <c r="K91" s="233"/>
      <c r="L91" s="242"/>
      <c r="M91" s="235" t="str">
        <f t="shared" si="1"/>
        <v/>
      </c>
      <c r="N91" s="236"/>
      <c r="O91" s="236"/>
      <c r="P91" s="236"/>
      <c r="Q91" s="236"/>
      <c r="R91" s="236"/>
      <c r="S91" s="236">
        <f t="shared" si="7"/>
        <v>0</v>
      </c>
      <c r="T91" s="238">
        <v>46082.0</v>
      </c>
      <c r="U91" s="239">
        <v>46098.0</v>
      </c>
      <c r="V91" s="239">
        <v>46098.0</v>
      </c>
      <c r="W91" s="239">
        <v>46102.0</v>
      </c>
      <c r="X91" s="236">
        <f t="shared" si="2"/>
        <v>4</v>
      </c>
      <c r="Y91" s="239">
        <v>46105.0</v>
      </c>
      <c r="Z91" s="236">
        <f t="shared" si="8"/>
        <v>3</v>
      </c>
      <c r="AA91" s="236"/>
      <c r="AB91" s="236"/>
      <c r="AC91" s="236"/>
    </row>
    <row r="92" ht="13.5" customHeight="1">
      <c r="A92" s="227">
        <v>94.0</v>
      </c>
      <c r="B92" s="228" t="s">
        <v>300</v>
      </c>
      <c r="C92" s="270" t="s">
        <v>256</v>
      </c>
      <c r="D92" s="230">
        <v>240.0</v>
      </c>
      <c r="E92" s="230">
        <v>822.0</v>
      </c>
      <c r="F92" s="231">
        <v>624.8</v>
      </c>
      <c r="G92" s="232"/>
      <c r="H92" s="233" t="s">
        <v>372</v>
      </c>
      <c r="I92" s="233" t="s">
        <v>387</v>
      </c>
      <c r="J92" s="271">
        <v>45796.0</v>
      </c>
      <c r="K92" s="233"/>
      <c r="L92" s="242"/>
      <c r="M92" s="235" t="str">
        <f t="shared" si="1"/>
        <v/>
      </c>
      <c r="N92" s="236"/>
      <c r="O92" s="236"/>
      <c r="P92" s="236"/>
      <c r="Q92" s="236"/>
      <c r="R92" s="236"/>
      <c r="S92" s="236">
        <f t="shared" si="7"/>
        <v>0</v>
      </c>
      <c r="T92" s="238">
        <v>46082.0</v>
      </c>
      <c r="U92" s="239">
        <v>46104.0</v>
      </c>
      <c r="V92" s="239">
        <v>46104.0</v>
      </c>
      <c r="W92" s="239">
        <v>46108.0</v>
      </c>
      <c r="X92" s="236">
        <f t="shared" si="2"/>
        <v>4</v>
      </c>
      <c r="Y92" s="239">
        <v>46111.0</v>
      </c>
      <c r="Z92" s="236">
        <f t="shared" si="8"/>
        <v>3</v>
      </c>
      <c r="AA92" s="236"/>
      <c r="AB92" s="236"/>
      <c r="AC92" s="236"/>
    </row>
    <row r="93" ht="13.5" hidden="1" customHeight="1">
      <c r="A93" s="227">
        <v>95.0</v>
      </c>
      <c r="B93" s="247" t="s">
        <v>301</v>
      </c>
      <c r="C93" s="272" t="s">
        <v>256</v>
      </c>
      <c r="D93" s="250">
        <v>609.0</v>
      </c>
      <c r="E93" s="250">
        <v>724.0</v>
      </c>
      <c r="F93" s="232"/>
      <c r="G93" s="232">
        <v>1375.0</v>
      </c>
      <c r="H93" s="233" t="s">
        <v>385</v>
      </c>
      <c r="I93" s="233" t="s">
        <v>386</v>
      </c>
      <c r="J93" s="240" t="s">
        <v>382</v>
      </c>
      <c r="K93" s="233"/>
      <c r="L93" s="242"/>
      <c r="M93" s="235" t="str">
        <f t="shared" si="1"/>
        <v>Vencida</v>
      </c>
      <c r="N93" s="236"/>
      <c r="O93" s="236"/>
      <c r="P93" s="236"/>
      <c r="Q93" s="237">
        <v>45736.0</v>
      </c>
      <c r="R93" s="237">
        <v>46101.0</v>
      </c>
      <c r="S93" s="236">
        <f t="shared" si="7"/>
        <v>1</v>
      </c>
      <c r="T93" s="236"/>
      <c r="U93" s="236"/>
      <c r="V93" s="236"/>
      <c r="W93" s="236"/>
      <c r="X93" s="236">
        <f t="shared" si="2"/>
        <v>0</v>
      </c>
      <c r="Y93" s="236"/>
      <c r="Z93" s="236">
        <f t="shared" si="8"/>
        <v>0</v>
      </c>
      <c r="AA93" s="236"/>
      <c r="AB93" s="236"/>
      <c r="AC93" s="236"/>
    </row>
    <row r="94" ht="13.5" customHeight="1">
      <c r="A94" s="227">
        <v>96.0</v>
      </c>
      <c r="B94" s="228" t="s">
        <v>302</v>
      </c>
      <c r="C94" s="270" t="s">
        <v>256</v>
      </c>
      <c r="D94" s="230">
        <v>187.0</v>
      </c>
      <c r="E94" s="230">
        <v>821.0</v>
      </c>
      <c r="F94" s="231">
        <v>624.8</v>
      </c>
      <c r="G94" s="232"/>
      <c r="H94" s="233" t="s">
        <v>378</v>
      </c>
      <c r="I94" s="233" t="s">
        <v>379</v>
      </c>
      <c r="J94" s="257">
        <v>45663.0</v>
      </c>
      <c r="K94" s="233"/>
      <c r="L94" s="242"/>
      <c r="M94" s="235" t="str">
        <f t="shared" si="1"/>
        <v/>
      </c>
      <c r="N94" s="236"/>
      <c r="O94" s="236"/>
      <c r="P94" s="236"/>
      <c r="Q94" s="237"/>
      <c r="R94" s="237"/>
      <c r="S94" s="236">
        <f t="shared" si="7"/>
        <v>0</v>
      </c>
      <c r="T94" s="236"/>
      <c r="U94" s="236"/>
      <c r="V94" s="236"/>
      <c r="W94" s="236"/>
      <c r="X94" s="236">
        <f t="shared" si="2"/>
        <v>0</v>
      </c>
      <c r="Y94" s="236"/>
      <c r="Z94" s="236">
        <f t="shared" si="8"/>
        <v>0</v>
      </c>
      <c r="AA94" s="236"/>
      <c r="AB94" s="236"/>
      <c r="AC94" s="236"/>
    </row>
    <row r="95" ht="13.5" hidden="1" customHeight="1">
      <c r="A95" s="227">
        <v>97.0</v>
      </c>
      <c r="B95" s="247" t="s">
        <v>303</v>
      </c>
      <c r="C95" s="272" t="s">
        <v>256</v>
      </c>
      <c r="D95" s="250">
        <v>610.0</v>
      </c>
      <c r="E95" s="250">
        <v>723.0</v>
      </c>
      <c r="F95" s="232"/>
      <c r="G95" s="232">
        <v>1375.0</v>
      </c>
      <c r="H95" s="233" t="s">
        <v>372</v>
      </c>
      <c r="I95" s="233" t="s">
        <v>375</v>
      </c>
      <c r="J95" s="240" t="s">
        <v>382</v>
      </c>
      <c r="K95" s="233"/>
      <c r="L95" s="242"/>
      <c r="M95" s="235" t="str">
        <f t="shared" si="1"/>
        <v/>
      </c>
      <c r="N95" s="236"/>
      <c r="O95" s="236"/>
      <c r="P95" s="236"/>
      <c r="Q95" s="236"/>
      <c r="R95" s="236"/>
      <c r="S95" s="236">
        <f t="shared" si="7"/>
        <v>0</v>
      </c>
      <c r="T95" s="236"/>
      <c r="U95" s="236"/>
      <c r="V95" s="236"/>
      <c r="W95" s="236"/>
      <c r="X95" s="236">
        <f t="shared" si="2"/>
        <v>0</v>
      </c>
      <c r="Y95" s="236"/>
      <c r="Z95" s="236">
        <f t="shared" si="8"/>
        <v>0</v>
      </c>
      <c r="AA95" s="236"/>
      <c r="AB95" s="236"/>
      <c r="AC95" s="236"/>
    </row>
    <row r="96" ht="13.5" customHeight="1">
      <c r="A96" s="227">
        <v>98.0</v>
      </c>
      <c r="B96" s="228" t="s">
        <v>304</v>
      </c>
      <c r="C96" s="270" t="s">
        <v>256</v>
      </c>
      <c r="D96" s="230">
        <v>731.0</v>
      </c>
      <c r="E96" s="230">
        <v>831.0</v>
      </c>
      <c r="F96" s="231">
        <v>620.4</v>
      </c>
      <c r="G96" s="232"/>
      <c r="H96" s="233" t="s">
        <v>372</v>
      </c>
      <c r="I96" s="233" t="s">
        <v>375</v>
      </c>
      <c r="J96" s="258" t="s">
        <v>406</v>
      </c>
      <c r="K96" s="233"/>
      <c r="L96" s="242"/>
      <c r="M96" s="235" t="str">
        <f t="shared" si="1"/>
        <v/>
      </c>
      <c r="N96" s="236"/>
      <c r="O96" s="236"/>
      <c r="P96" s="236"/>
      <c r="Q96" s="236"/>
      <c r="R96" s="236"/>
      <c r="S96" s="236">
        <f t="shared" si="7"/>
        <v>0</v>
      </c>
      <c r="T96" s="238">
        <v>46082.0</v>
      </c>
      <c r="U96" s="239">
        <v>46112.0</v>
      </c>
      <c r="V96" s="236"/>
      <c r="W96" s="236"/>
      <c r="X96" s="236">
        <f t="shared" si="2"/>
        <v>0</v>
      </c>
      <c r="Y96" s="236"/>
      <c r="Z96" s="236">
        <f t="shared" si="8"/>
        <v>0</v>
      </c>
      <c r="AA96" s="236"/>
      <c r="AB96" s="236"/>
      <c r="AC96" s="236"/>
    </row>
    <row r="97" ht="13.5" customHeight="1">
      <c r="A97" s="227">
        <v>99.0</v>
      </c>
      <c r="B97" s="228" t="s">
        <v>305</v>
      </c>
      <c r="C97" s="270" t="s">
        <v>256</v>
      </c>
      <c r="D97" s="230">
        <v>182.0</v>
      </c>
      <c r="E97" s="230">
        <v>824.0</v>
      </c>
      <c r="F97" s="231">
        <v>471.9</v>
      </c>
      <c r="G97" s="232"/>
      <c r="H97" s="233" t="s">
        <v>372</v>
      </c>
      <c r="I97" s="233" t="s">
        <v>375</v>
      </c>
      <c r="J97" s="258" t="s">
        <v>407</v>
      </c>
      <c r="K97" s="233"/>
      <c r="L97" s="242"/>
      <c r="M97" s="235" t="str">
        <f t="shared" si="1"/>
        <v/>
      </c>
      <c r="N97" s="236"/>
      <c r="O97" s="236"/>
      <c r="P97" s="236"/>
      <c r="Q97" s="236"/>
      <c r="R97" s="236"/>
      <c r="S97" s="236">
        <f t="shared" si="7"/>
        <v>0</v>
      </c>
      <c r="T97" s="236"/>
      <c r="U97" s="236"/>
      <c r="V97" s="236"/>
      <c r="W97" s="236"/>
      <c r="X97" s="236">
        <f t="shared" si="2"/>
        <v>0</v>
      </c>
      <c r="Y97" s="236"/>
      <c r="Z97" s="236">
        <f t="shared" si="8"/>
        <v>0</v>
      </c>
      <c r="AA97" s="236"/>
      <c r="AB97" s="236"/>
      <c r="AC97" s="236"/>
    </row>
    <row r="98" ht="13.5" customHeight="1">
      <c r="A98" s="227">
        <v>100.0</v>
      </c>
      <c r="B98" s="228" t="s">
        <v>306</v>
      </c>
      <c r="C98" s="270" t="s">
        <v>256</v>
      </c>
      <c r="D98" s="230">
        <v>216.0</v>
      </c>
      <c r="E98" s="230">
        <v>825.0</v>
      </c>
      <c r="F98" s="231">
        <v>585.75</v>
      </c>
      <c r="G98" s="232"/>
      <c r="H98" s="233" t="s">
        <v>372</v>
      </c>
      <c r="I98" s="233" t="s">
        <v>387</v>
      </c>
      <c r="J98" s="257">
        <v>45788.0</v>
      </c>
      <c r="K98" s="233"/>
      <c r="L98" s="242"/>
      <c r="M98" s="235" t="str">
        <f t="shared" si="1"/>
        <v/>
      </c>
      <c r="N98" s="236"/>
      <c r="O98" s="236"/>
      <c r="P98" s="236"/>
      <c r="Q98" s="236"/>
      <c r="R98" s="236"/>
      <c r="S98" s="236">
        <f t="shared" si="7"/>
        <v>0</v>
      </c>
      <c r="T98" s="236"/>
      <c r="U98" s="236"/>
      <c r="V98" s="236"/>
      <c r="W98" s="236"/>
      <c r="X98" s="236">
        <f t="shared" si="2"/>
        <v>0</v>
      </c>
      <c r="Y98" s="236"/>
      <c r="Z98" s="236">
        <f t="shared" si="8"/>
        <v>0</v>
      </c>
      <c r="AA98" s="236"/>
      <c r="AB98" s="236"/>
      <c r="AC98" s="236"/>
    </row>
    <row r="99" ht="13.5" customHeight="1">
      <c r="A99" s="227">
        <v>101.0</v>
      </c>
      <c r="B99" s="228" t="s">
        <v>307</v>
      </c>
      <c r="C99" s="270" t="s">
        <v>256</v>
      </c>
      <c r="D99" s="230">
        <v>194.0</v>
      </c>
      <c r="E99" s="230">
        <v>832.0</v>
      </c>
      <c r="F99" s="231">
        <v>624.8</v>
      </c>
      <c r="G99" s="232"/>
      <c r="H99" s="233" t="s">
        <v>378</v>
      </c>
      <c r="I99" s="233" t="s">
        <v>379</v>
      </c>
      <c r="J99" s="240" t="s">
        <v>382</v>
      </c>
      <c r="K99" s="233"/>
      <c r="L99" s="242"/>
      <c r="M99" s="235" t="str">
        <f t="shared" si="1"/>
        <v/>
      </c>
      <c r="N99" s="236"/>
      <c r="O99" s="236"/>
      <c r="P99" s="236"/>
      <c r="Q99" s="236"/>
      <c r="R99" s="236"/>
      <c r="S99" s="236">
        <f t="shared" si="7"/>
        <v>0</v>
      </c>
      <c r="T99" s="236"/>
      <c r="U99" s="236"/>
      <c r="V99" s="236"/>
      <c r="W99" s="236"/>
      <c r="X99" s="236">
        <f t="shared" si="2"/>
        <v>0</v>
      </c>
      <c r="Y99" s="236"/>
      <c r="Z99" s="236">
        <f t="shared" si="8"/>
        <v>0</v>
      </c>
      <c r="AA99" s="236"/>
      <c r="AB99" s="236"/>
      <c r="AC99" s="236"/>
    </row>
    <row r="100" ht="13.5" customHeight="1">
      <c r="A100" s="227">
        <v>102.0</v>
      </c>
      <c r="B100" s="228" t="s">
        <v>308</v>
      </c>
      <c r="C100" s="270" t="s">
        <v>309</v>
      </c>
      <c r="D100" s="230">
        <v>217.0</v>
      </c>
      <c r="E100" s="244"/>
      <c r="F100" s="231">
        <v>612.85</v>
      </c>
      <c r="G100" s="232"/>
      <c r="H100" s="233" t="s">
        <v>372</v>
      </c>
      <c r="I100" s="233" t="s">
        <v>387</v>
      </c>
      <c r="J100" s="257">
        <v>45998.0</v>
      </c>
      <c r="K100" s="233"/>
      <c r="L100" s="242"/>
      <c r="M100" s="235" t="str">
        <f t="shared" si="1"/>
        <v/>
      </c>
      <c r="N100" s="236"/>
      <c r="O100" s="236"/>
      <c r="P100" s="236"/>
      <c r="Q100" s="236"/>
      <c r="R100" s="236"/>
      <c r="S100" s="236">
        <f t="shared" si="7"/>
        <v>0</v>
      </c>
      <c r="T100" s="236"/>
      <c r="U100" s="236"/>
      <c r="V100" s="236"/>
      <c r="W100" s="236"/>
      <c r="X100" s="236">
        <f t="shared" si="2"/>
        <v>0</v>
      </c>
      <c r="Y100" s="236"/>
      <c r="Z100" s="236">
        <f t="shared" si="8"/>
        <v>0</v>
      </c>
      <c r="AA100" s="236"/>
      <c r="AB100" s="236"/>
      <c r="AC100" s="236"/>
    </row>
    <row r="101" ht="13.5" hidden="1" customHeight="1">
      <c r="A101" s="227">
        <v>103.0</v>
      </c>
      <c r="B101" s="247" t="s">
        <v>310</v>
      </c>
      <c r="C101" s="272" t="s">
        <v>309</v>
      </c>
      <c r="D101" s="250"/>
      <c r="E101" s="251"/>
      <c r="F101" s="232"/>
      <c r="G101" s="232">
        <v>2752.0</v>
      </c>
      <c r="H101" s="233" t="s">
        <v>372</v>
      </c>
      <c r="I101" s="233" t="s">
        <v>387</v>
      </c>
      <c r="J101" s="273"/>
      <c r="K101" s="233"/>
      <c r="L101" s="242"/>
      <c r="M101" s="235" t="str">
        <f t="shared" si="1"/>
        <v/>
      </c>
      <c r="N101" s="236"/>
      <c r="O101" s="236"/>
      <c r="P101" s="236"/>
      <c r="Q101" s="236"/>
      <c r="R101" s="236"/>
      <c r="S101" s="236">
        <f t="shared" si="7"/>
        <v>0</v>
      </c>
      <c r="T101" s="236"/>
      <c r="U101" s="236"/>
      <c r="V101" s="236"/>
      <c r="W101" s="236"/>
      <c r="X101" s="236">
        <f t="shared" si="2"/>
        <v>0</v>
      </c>
      <c r="Y101" s="236"/>
      <c r="Z101" s="236">
        <f t="shared" si="8"/>
        <v>0</v>
      </c>
      <c r="AA101" s="236"/>
      <c r="AB101" s="236"/>
      <c r="AC101" s="236"/>
    </row>
    <row r="102" ht="13.5" customHeight="1">
      <c r="A102" s="227">
        <v>104.0</v>
      </c>
      <c r="B102" s="228" t="s">
        <v>311</v>
      </c>
      <c r="C102" s="270" t="s">
        <v>256</v>
      </c>
      <c r="D102" s="230">
        <v>213.0</v>
      </c>
      <c r="E102" s="230">
        <v>833.0</v>
      </c>
      <c r="F102" s="231">
        <v>343.75</v>
      </c>
      <c r="G102" s="232"/>
      <c r="H102" s="233" t="s">
        <v>372</v>
      </c>
      <c r="I102" s="233" t="s">
        <v>375</v>
      </c>
      <c r="J102" s="240" t="s">
        <v>382</v>
      </c>
      <c r="K102" s="233"/>
      <c r="L102" s="242"/>
      <c r="M102" s="235" t="str">
        <f t="shared" si="1"/>
        <v/>
      </c>
      <c r="N102" s="236"/>
      <c r="O102" s="236"/>
      <c r="P102" s="236"/>
      <c r="Q102" s="236"/>
      <c r="R102" s="236"/>
      <c r="S102" s="236">
        <f t="shared" si="7"/>
        <v>0</v>
      </c>
      <c r="T102" s="236"/>
      <c r="U102" s="236"/>
      <c r="V102" s="236"/>
      <c r="W102" s="236"/>
      <c r="X102" s="236">
        <f t="shared" si="2"/>
        <v>0</v>
      </c>
      <c r="Y102" s="236"/>
      <c r="Z102" s="236">
        <f t="shared" si="8"/>
        <v>0</v>
      </c>
      <c r="AA102" s="236"/>
      <c r="AB102" s="236"/>
      <c r="AC102" s="236"/>
    </row>
    <row r="103" ht="13.5" customHeight="1">
      <c r="A103" s="227">
        <v>105.0</v>
      </c>
      <c r="B103" s="228" t="s">
        <v>312</v>
      </c>
      <c r="C103" s="270" t="s">
        <v>256</v>
      </c>
      <c r="D103" s="230">
        <v>178.0</v>
      </c>
      <c r="E103" s="230">
        <v>835.0</v>
      </c>
      <c r="F103" s="231">
        <v>563.75</v>
      </c>
      <c r="G103" s="232"/>
      <c r="H103" s="233" t="s">
        <v>367</v>
      </c>
      <c r="I103" s="233" t="s">
        <v>388</v>
      </c>
      <c r="J103" s="257">
        <v>45699.0</v>
      </c>
      <c r="K103" s="233"/>
      <c r="L103" s="242"/>
      <c r="M103" s="235" t="str">
        <f t="shared" si="1"/>
        <v/>
      </c>
      <c r="N103" s="236"/>
      <c r="O103" s="236"/>
      <c r="P103" s="236"/>
      <c r="Q103" s="236"/>
      <c r="R103" s="236"/>
      <c r="S103" s="236">
        <f t="shared" si="7"/>
        <v>0</v>
      </c>
      <c r="T103" s="236"/>
      <c r="U103" s="236"/>
      <c r="V103" s="236"/>
      <c r="W103" s="236"/>
      <c r="X103" s="236">
        <f t="shared" si="2"/>
        <v>0</v>
      </c>
      <c r="Y103" s="236"/>
      <c r="Z103" s="236">
        <f t="shared" si="8"/>
        <v>0</v>
      </c>
      <c r="AA103" s="236"/>
      <c r="AB103" s="236"/>
      <c r="AC103" s="236"/>
    </row>
    <row r="104" ht="13.5" customHeight="1">
      <c r="A104" s="227">
        <v>106.0</v>
      </c>
      <c r="B104" s="228" t="s">
        <v>313</v>
      </c>
      <c r="C104" s="270" t="s">
        <v>256</v>
      </c>
      <c r="D104" s="230">
        <v>231.0</v>
      </c>
      <c r="E104" s="230">
        <v>829.0</v>
      </c>
      <c r="F104" s="231">
        <v>404.8</v>
      </c>
      <c r="G104" s="232"/>
      <c r="H104" s="233" t="s">
        <v>372</v>
      </c>
      <c r="I104" s="233" t="s">
        <v>387</v>
      </c>
      <c r="J104" s="240" t="s">
        <v>382</v>
      </c>
      <c r="K104" s="233"/>
      <c r="L104" s="242"/>
      <c r="M104" s="235" t="str">
        <f t="shared" si="1"/>
        <v/>
      </c>
      <c r="N104" s="236"/>
      <c r="O104" s="236"/>
      <c r="P104" s="236"/>
      <c r="Q104" s="236"/>
      <c r="R104" s="236"/>
      <c r="S104" s="236">
        <f t="shared" si="7"/>
        <v>0</v>
      </c>
      <c r="T104" s="236"/>
      <c r="U104" s="236"/>
      <c r="V104" s="236"/>
      <c r="W104" s="236"/>
      <c r="X104" s="236">
        <f t="shared" si="2"/>
        <v>0</v>
      </c>
      <c r="Y104" s="236"/>
      <c r="Z104" s="236">
        <f t="shared" si="8"/>
        <v>0</v>
      </c>
      <c r="AA104" s="236"/>
      <c r="AB104" s="236"/>
      <c r="AC104" s="236"/>
    </row>
    <row r="105" ht="13.5" customHeight="1">
      <c r="A105" s="227">
        <v>107.0</v>
      </c>
      <c r="B105" s="228" t="s">
        <v>314</v>
      </c>
      <c r="C105" s="270" t="s">
        <v>256</v>
      </c>
      <c r="D105" s="230">
        <v>134.0</v>
      </c>
      <c r="E105" s="230">
        <v>901.0</v>
      </c>
      <c r="F105" s="231">
        <v>477.95</v>
      </c>
      <c r="G105" s="232"/>
      <c r="H105" s="233" t="s">
        <v>372</v>
      </c>
      <c r="I105" s="233" t="s">
        <v>381</v>
      </c>
      <c r="J105" s="258" t="s">
        <v>408</v>
      </c>
      <c r="K105" s="233"/>
      <c r="L105" s="242"/>
      <c r="M105" s="235" t="str">
        <f t="shared" si="1"/>
        <v/>
      </c>
      <c r="N105" s="236"/>
      <c r="O105" s="236"/>
      <c r="P105" s="236"/>
      <c r="Q105" s="236"/>
      <c r="R105" s="236"/>
      <c r="S105" s="236">
        <f t="shared" si="7"/>
        <v>0</v>
      </c>
      <c r="T105" s="238">
        <v>46082.0</v>
      </c>
      <c r="U105" s="239">
        <v>46112.0</v>
      </c>
      <c r="V105" s="239">
        <v>46112.0</v>
      </c>
      <c r="W105" s="239">
        <v>46115.0</v>
      </c>
      <c r="X105" s="236">
        <f t="shared" si="2"/>
        <v>3</v>
      </c>
      <c r="Y105" s="236"/>
      <c r="Z105" s="274">
        <f t="shared" si="8"/>
        <v>-46115</v>
      </c>
      <c r="AA105" s="236"/>
      <c r="AB105" s="236"/>
      <c r="AC105" s="236"/>
    </row>
    <row r="106" ht="13.5" hidden="1" customHeight="1">
      <c r="A106" s="227">
        <v>108.0</v>
      </c>
      <c r="B106" s="247" t="s">
        <v>315</v>
      </c>
      <c r="C106" s="272" t="s">
        <v>316</v>
      </c>
      <c r="D106" s="250">
        <v>638.0</v>
      </c>
      <c r="E106" s="251"/>
      <c r="F106" s="232"/>
      <c r="G106" s="232">
        <v>537.5</v>
      </c>
      <c r="H106" s="233" t="s">
        <v>367</v>
      </c>
      <c r="I106" s="233" t="s">
        <v>388</v>
      </c>
      <c r="J106" s="258" t="s">
        <v>409</v>
      </c>
      <c r="K106" s="233"/>
      <c r="L106" s="242"/>
      <c r="M106" s="235" t="str">
        <f t="shared" si="1"/>
        <v/>
      </c>
      <c r="N106" s="236"/>
      <c r="O106" s="236"/>
      <c r="P106" s="236"/>
      <c r="Q106" s="236"/>
      <c r="R106" s="236"/>
      <c r="S106" s="236">
        <f t="shared" si="7"/>
        <v>0</v>
      </c>
      <c r="T106" s="236"/>
      <c r="U106" s="236"/>
      <c r="V106" s="236"/>
      <c r="W106" s="236"/>
      <c r="X106" s="236">
        <f t="shared" si="2"/>
        <v>0</v>
      </c>
      <c r="Y106" s="236"/>
      <c r="Z106" s="236">
        <f t="shared" si="8"/>
        <v>0</v>
      </c>
      <c r="AA106" s="236"/>
      <c r="AB106" s="236"/>
      <c r="AC106" s="236"/>
    </row>
    <row r="107" ht="13.5" hidden="1" customHeight="1">
      <c r="A107" s="227">
        <v>109.0</v>
      </c>
      <c r="B107" s="247" t="s">
        <v>317</v>
      </c>
      <c r="C107" s="272" t="s">
        <v>316</v>
      </c>
      <c r="D107" s="250">
        <v>639.0</v>
      </c>
      <c r="E107" s="251"/>
      <c r="F107" s="232"/>
      <c r="G107" s="232">
        <v>537.5</v>
      </c>
      <c r="H107" s="233" t="s">
        <v>385</v>
      </c>
      <c r="I107" s="233" t="s">
        <v>386</v>
      </c>
      <c r="J107" s="258" t="s">
        <v>410</v>
      </c>
      <c r="K107" s="233"/>
      <c r="L107" s="242"/>
      <c r="M107" s="235" t="str">
        <f t="shared" si="1"/>
        <v/>
      </c>
      <c r="N107" s="236"/>
      <c r="O107" s="236"/>
      <c r="P107" s="236"/>
      <c r="Q107" s="236"/>
      <c r="R107" s="236"/>
      <c r="S107" s="236">
        <f t="shared" si="7"/>
        <v>0</v>
      </c>
      <c r="T107" s="236"/>
      <c r="U107" s="236"/>
      <c r="V107" s="236"/>
      <c r="W107" s="236"/>
      <c r="X107" s="236">
        <f t="shared" si="2"/>
        <v>0</v>
      </c>
      <c r="Y107" s="236"/>
      <c r="Z107" s="236">
        <f t="shared" si="8"/>
        <v>0</v>
      </c>
      <c r="AA107" s="236"/>
      <c r="AB107" s="236"/>
      <c r="AC107" s="236"/>
    </row>
    <row r="108" ht="13.5" hidden="1" customHeight="1">
      <c r="A108" s="227">
        <v>110.0</v>
      </c>
      <c r="B108" s="247" t="s">
        <v>318</v>
      </c>
      <c r="C108" s="272" t="s">
        <v>316</v>
      </c>
      <c r="D108" s="250">
        <v>640.0</v>
      </c>
      <c r="E108" s="251"/>
      <c r="F108" s="232"/>
      <c r="G108" s="232">
        <v>537.5</v>
      </c>
      <c r="H108" s="233" t="s">
        <v>385</v>
      </c>
      <c r="I108" s="233" t="s">
        <v>386</v>
      </c>
      <c r="J108" s="257">
        <v>45759.0</v>
      </c>
      <c r="K108" s="233"/>
      <c r="L108" s="242"/>
      <c r="M108" s="235" t="str">
        <f t="shared" si="1"/>
        <v/>
      </c>
      <c r="N108" s="236"/>
      <c r="O108" s="236"/>
      <c r="P108" s="236"/>
      <c r="Q108" s="236"/>
      <c r="R108" s="236"/>
      <c r="S108" s="236">
        <f t="shared" si="7"/>
        <v>0</v>
      </c>
      <c r="T108" s="236"/>
      <c r="U108" s="236"/>
      <c r="V108" s="236"/>
      <c r="W108" s="236"/>
      <c r="X108" s="236">
        <f t="shared" si="2"/>
        <v>0</v>
      </c>
      <c r="Y108" s="236"/>
      <c r="Z108" s="236">
        <f t="shared" si="8"/>
        <v>0</v>
      </c>
      <c r="AA108" s="236"/>
      <c r="AB108" s="236"/>
      <c r="AC108" s="236"/>
    </row>
    <row r="109" ht="13.5" hidden="1" customHeight="1">
      <c r="A109" s="227">
        <v>111.0</v>
      </c>
      <c r="B109" s="247" t="s">
        <v>319</v>
      </c>
      <c r="C109" s="272" t="s">
        <v>316</v>
      </c>
      <c r="D109" s="250">
        <v>641.0</v>
      </c>
      <c r="E109" s="251"/>
      <c r="F109" s="232"/>
      <c r="G109" s="232">
        <v>537.5</v>
      </c>
      <c r="H109" s="233" t="s">
        <v>372</v>
      </c>
      <c r="I109" s="233" t="s">
        <v>375</v>
      </c>
      <c r="J109" s="257">
        <v>46358.0</v>
      </c>
      <c r="K109" s="233"/>
      <c r="L109" s="242"/>
      <c r="M109" s="235" t="str">
        <f t="shared" si="1"/>
        <v/>
      </c>
      <c r="N109" s="236"/>
      <c r="O109" s="236"/>
      <c r="P109" s="236"/>
      <c r="Q109" s="236"/>
      <c r="R109" s="236"/>
      <c r="S109" s="236">
        <f t="shared" si="7"/>
        <v>0</v>
      </c>
      <c r="T109" s="236"/>
      <c r="U109" s="236"/>
      <c r="V109" s="236"/>
      <c r="W109" s="236"/>
      <c r="X109" s="236">
        <f t="shared" si="2"/>
        <v>0</v>
      </c>
      <c r="Y109" s="236"/>
      <c r="Z109" s="236">
        <f t="shared" si="8"/>
        <v>0</v>
      </c>
      <c r="AA109" s="236"/>
      <c r="AB109" s="236"/>
      <c r="AC109" s="236"/>
    </row>
    <row r="110" ht="13.5" hidden="1" customHeight="1">
      <c r="A110" s="227">
        <v>112.0</v>
      </c>
      <c r="B110" s="247" t="s">
        <v>320</v>
      </c>
      <c r="C110" s="272" t="s">
        <v>316</v>
      </c>
      <c r="D110" s="250">
        <v>642.0</v>
      </c>
      <c r="E110" s="251"/>
      <c r="F110" s="232"/>
      <c r="G110" s="232">
        <v>490.0</v>
      </c>
      <c r="H110" s="233" t="s">
        <v>372</v>
      </c>
      <c r="I110" s="233" t="s">
        <v>387</v>
      </c>
      <c r="J110" s="240" t="s">
        <v>382</v>
      </c>
      <c r="K110" s="233"/>
      <c r="L110" s="242"/>
      <c r="M110" s="235" t="str">
        <f t="shared" si="1"/>
        <v/>
      </c>
      <c r="N110" s="236"/>
      <c r="O110" s="236"/>
      <c r="P110" s="236"/>
      <c r="Q110" s="236"/>
      <c r="R110" s="236"/>
      <c r="S110" s="236">
        <f t="shared" si="7"/>
        <v>0</v>
      </c>
      <c r="T110" s="236"/>
      <c r="U110" s="236"/>
      <c r="V110" s="236"/>
      <c r="W110" s="236"/>
      <c r="X110" s="236">
        <f t="shared" si="2"/>
        <v>0</v>
      </c>
      <c r="Y110" s="236"/>
      <c r="Z110" s="236">
        <f t="shared" si="8"/>
        <v>0</v>
      </c>
      <c r="AA110" s="236"/>
      <c r="AB110" s="236"/>
      <c r="AC110" s="236"/>
    </row>
    <row r="111" ht="13.5" hidden="1" customHeight="1">
      <c r="A111" s="227">
        <v>113.0</v>
      </c>
      <c r="B111" s="247" t="s">
        <v>321</v>
      </c>
      <c r="C111" s="272" t="s">
        <v>316</v>
      </c>
      <c r="D111" s="250">
        <v>643.0</v>
      </c>
      <c r="E111" s="251"/>
      <c r="F111" s="232"/>
      <c r="G111" s="232">
        <v>322.5</v>
      </c>
      <c r="H111" s="233" t="s">
        <v>367</v>
      </c>
      <c r="I111" s="233" t="s">
        <v>368</v>
      </c>
      <c r="J111" s="257">
        <v>46328.0</v>
      </c>
      <c r="K111" s="233"/>
      <c r="L111" s="242"/>
      <c r="M111" s="235" t="str">
        <f t="shared" si="1"/>
        <v/>
      </c>
      <c r="N111" s="236"/>
      <c r="O111" s="236"/>
      <c r="P111" s="236"/>
      <c r="Q111" s="236"/>
      <c r="R111" s="236"/>
      <c r="S111" s="236">
        <f t="shared" si="7"/>
        <v>0</v>
      </c>
      <c r="T111" s="236"/>
      <c r="U111" s="236"/>
      <c r="V111" s="236"/>
      <c r="W111" s="236"/>
      <c r="X111" s="236">
        <f t="shared" si="2"/>
        <v>0</v>
      </c>
      <c r="Y111" s="236"/>
      <c r="Z111" s="236">
        <f t="shared" si="8"/>
        <v>0</v>
      </c>
      <c r="AA111" s="236"/>
      <c r="AB111" s="236"/>
      <c r="AC111" s="236"/>
    </row>
    <row r="112" ht="13.5" hidden="1" customHeight="1">
      <c r="A112" s="227">
        <v>114.0</v>
      </c>
      <c r="B112" s="247" t="s">
        <v>322</v>
      </c>
      <c r="C112" s="272" t="s">
        <v>316</v>
      </c>
      <c r="D112" s="250">
        <v>644.0</v>
      </c>
      <c r="E112" s="251"/>
      <c r="F112" s="232"/>
      <c r="G112" s="232">
        <v>490.0</v>
      </c>
      <c r="H112" s="233" t="s">
        <v>372</v>
      </c>
      <c r="I112" s="233" t="s">
        <v>373</v>
      </c>
      <c r="J112" s="240" t="s">
        <v>382</v>
      </c>
      <c r="K112" s="233"/>
      <c r="L112" s="242"/>
      <c r="M112" s="235" t="str">
        <f t="shared" si="1"/>
        <v/>
      </c>
      <c r="N112" s="236"/>
      <c r="O112" s="236"/>
      <c r="P112" s="236"/>
      <c r="Q112" s="236"/>
      <c r="R112" s="236"/>
      <c r="S112" s="236">
        <f t="shared" si="7"/>
        <v>0</v>
      </c>
      <c r="T112" s="236"/>
      <c r="U112" s="236"/>
      <c r="V112" s="236"/>
      <c r="W112" s="236"/>
      <c r="X112" s="236">
        <f t="shared" si="2"/>
        <v>0</v>
      </c>
      <c r="Y112" s="236"/>
      <c r="Z112" s="236">
        <f t="shared" si="8"/>
        <v>0</v>
      </c>
      <c r="AA112" s="236"/>
      <c r="AB112" s="236"/>
      <c r="AC112" s="236"/>
    </row>
    <row r="113" ht="13.5" hidden="1" customHeight="1">
      <c r="A113" s="227">
        <v>115.0</v>
      </c>
      <c r="B113" s="247" t="s">
        <v>323</v>
      </c>
      <c r="C113" s="272" t="s">
        <v>316</v>
      </c>
      <c r="D113" s="250">
        <v>645.0</v>
      </c>
      <c r="E113" s="251"/>
      <c r="F113" s="232"/>
      <c r="G113" s="232">
        <v>1075.0</v>
      </c>
      <c r="H113" s="233" t="s">
        <v>385</v>
      </c>
      <c r="I113" s="233" t="s">
        <v>386</v>
      </c>
      <c r="J113" s="240" t="s">
        <v>382</v>
      </c>
      <c r="K113" s="233"/>
      <c r="L113" s="242"/>
      <c r="M113" s="235" t="str">
        <f t="shared" si="1"/>
        <v/>
      </c>
      <c r="N113" s="236"/>
      <c r="O113" s="236"/>
      <c r="P113" s="236"/>
      <c r="Q113" s="236"/>
      <c r="R113" s="236"/>
      <c r="S113" s="236">
        <f t="shared" si="7"/>
        <v>0</v>
      </c>
      <c r="T113" s="236"/>
      <c r="U113" s="236"/>
      <c r="V113" s="236"/>
      <c r="W113" s="236"/>
      <c r="X113" s="236">
        <f t="shared" si="2"/>
        <v>0</v>
      </c>
      <c r="Y113" s="236"/>
      <c r="Z113" s="236">
        <f t="shared" si="8"/>
        <v>0</v>
      </c>
      <c r="AA113" s="236"/>
      <c r="AB113" s="236"/>
      <c r="AC113" s="236"/>
    </row>
    <row r="114" ht="13.5" hidden="1" customHeight="1">
      <c r="A114" s="227">
        <v>116.0</v>
      </c>
      <c r="B114" s="247" t="s">
        <v>324</v>
      </c>
      <c r="C114" s="272" t="s">
        <v>316</v>
      </c>
      <c r="D114" s="250">
        <v>646.0</v>
      </c>
      <c r="E114" s="251"/>
      <c r="F114" s="232"/>
      <c r="G114" s="232">
        <v>537.5</v>
      </c>
      <c r="H114" s="233" t="s">
        <v>385</v>
      </c>
      <c r="I114" s="233" t="s">
        <v>386</v>
      </c>
      <c r="J114" s="240" t="s">
        <v>382</v>
      </c>
      <c r="K114" s="233"/>
      <c r="L114" s="242"/>
      <c r="M114" s="235" t="str">
        <f t="shared" si="1"/>
        <v/>
      </c>
      <c r="N114" s="236"/>
      <c r="O114" s="236"/>
      <c r="P114" s="236"/>
      <c r="Q114" s="236"/>
      <c r="R114" s="236"/>
      <c r="S114" s="236">
        <f t="shared" si="7"/>
        <v>0</v>
      </c>
      <c r="T114" s="236"/>
      <c r="U114" s="236"/>
      <c r="V114" s="236"/>
      <c r="W114" s="236"/>
      <c r="X114" s="236">
        <f t="shared" si="2"/>
        <v>0</v>
      </c>
      <c r="Y114" s="236"/>
      <c r="Z114" s="236">
        <f t="shared" si="8"/>
        <v>0</v>
      </c>
      <c r="AA114" s="236"/>
      <c r="AB114" s="236"/>
      <c r="AC114" s="236"/>
    </row>
    <row r="115" ht="13.5" customHeight="1">
      <c r="A115" s="227">
        <v>117.0</v>
      </c>
      <c r="B115" s="228" t="s">
        <v>325</v>
      </c>
      <c r="C115" s="270" t="s">
        <v>316</v>
      </c>
      <c r="D115" s="230">
        <v>628.0</v>
      </c>
      <c r="E115" s="244"/>
      <c r="F115" s="231">
        <v>420.9</v>
      </c>
      <c r="G115" s="232"/>
      <c r="H115" s="233" t="s">
        <v>367</v>
      </c>
      <c r="I115" s="233" t="s">
        <v>388</v>
      </c>
      <c r="J115" s="240" t="s">
        <v>382</v>
      </c>
      <c r="K115" s="233"/>
      <c r="L115" s="242"/>
      <c r="M115" s="235" t="str">
        <f t="shared" si="1"/>
        <v/>
      </c>
      <c r="N115" s="236"/>
      <c r="O115" s="236"/>
      <c r="P115" s="236"/>
      <c r="Q115" s="236"/>
      <c r="R115" s="236"/>
      <c r="S115" s="236">
        <f t="shared" si="7"/>
        <v>0</v>
      </c>
      <c r="T115" s="236"/>
      <c r="U115" s="236"/>
      <c r="V115" s="236"/>
      <c r="W115" s="236"/>
      <c r="X115" s="236">
        <f t="shared" si="2"/>
        <v>0</v>
      </c>
      <c r="Y115" s="236"/>
      <c r="Z115" s="236">
        <f t="shared" si="8"/>
        <v>0</v>
      </c>
      <c r="AA115" s="236"/>
      <c r="AB115" s="236"/>
      <c r="AC115" s="236"/>
    </row>
    <row r="116" ht="13.5" customHeight="1">
      <c r="A116" s="227">
        <v>118.0</v>
      </c>
      <c r="B116" s="228" t="s">
        <v>326</v>
      </c>
      <c r="C116" s="270" t="s">
        <v>316</v>
      </c>
      <c r="D116" s="230">
        <v>629.0</v>
      </c>
      <c r="E116" s="244"/>
      <c r="F116" s="231">
        <v>206.47</v>
      </c>
      <c r="G116" s="232"/>
      <c r="H116" s="233" t="s">
        <v>385</v>
      </c>
      <c r="I116" s="233" t="s">
        <v>386</v>
      </c>
      <c r="J116" s="258" t="s">
        <v>411</v>
      </c>
      <c r="K116" s="233"/>
      <c r="L116" s="242"/>
      <c r="M116" s="235" t="str">
        <f t="shared" si="1"/>
        <v/>
      </c>
      <c r="N116" s="275">
        <v>90.0</v>
      </c>
      <c r="O116" s="236"/>
      <c r="P116" s="236"/>
      <c r="Q116" s="236"/>
      <c r="R116" s="236"/>
      <c r="S116" s="236">
        <f t="shared" si="7"/>
        <v>0</v>
      </c>
      <c r="T116" s="236"/>
      <c r="U116" s="236"/>
      <c r="V116" s="236"/>
      <c r="W116" s="236"/>
      <c r="X116" s="236">
        <f t="shared" si="2"/>
        <v>0</v>
      </c>
      <c r="Y116" s="236"/>
      <c r="Z116" s="236">
        <f t="shared" si="8"/>
        <v>0</v>
      </c>
      <c r="AA116" s="236"/>
      <c r="AB116" s="236"/>
      <c r="AC116" s="236"/>
    </row>
    <row r="117" ht="13.5" customHeight="1">
      <c r="A117" s="227">
        <v>119.0</v>
      </c>
      <c r="B117" s="228" t="s">
        <v>327</v>
      </c>
      <c r="C117" s="270" t="s">
        <v>316</v>
      </c>
      <c r="D117" s="230">
        <v>630.0</v>
      </c>
      <c r="E117" s="244"/>
      <c r="F117" s="231">
        <v>260.04</v>
      </c>
      <c r="G117" s="232"/>
      <c r="H117" s="233" t="s">
        <v>385</v>
      </c>
      <c r="I117" s="233" t="s">
        <v>386</v>
      </c>
      <c r="J117" s="258" t="s">
        <v>412</v>
      </c>
      <c r="K117" s="233"/>
      <c r="L117" s="242"/>
      <c r="M117" s="235" t="str">
        <f t="shared" si="1"/>
        <v/>
      </c>
      <c r="N117" s="275">
        <v>78.0</v>
      </c>
      <c r="O117" s="236"/>
      <c r="P117" s="236"/>
      <c r="Q117" s="236"/>
      <c r="R117" s="236"/>
      <c r="S117" s="236">
        <f t="shared" si="7"/>
        <v>0</v>
      </c>
      <c r="T117" s="236"/>
      <c r="U117" s="236"/>
      <c r="V117" s="236"/>
      <c r="W117" s="236"/>
      <c r="X117" s="236">
        <f t="shared" si="2"/>
        <v>0</v>
      </c>
      <c r="Y117" s="236"/>
      <c r="Z117" s="236">
        <f t="shared" si="8"/>
        <v>0</v>
      </c>
      <c r="AA117" s="236"/>
      <c r="AB117" s="236"/>
      <c r="AC117" s="236"/>
    </row>
    <row r="118" ht="13.5" customHeight="1">
      <c r="A118" s="227">
        <v>120.0</v>
      </c>
      <c r="B118" s="228" t="s">
        <v>328</v>
      </c>
      <c r="C118" s="270" t="s">
        <v>316</v>
      </c>
      <c r="D118" s="230">
        <v>631.0</v>
      </c>
      <c r="E118" s="244"/>
      <c r="F118" s="231">
        <v>500.0</v>
      </c>
      <c r="G118" s="232"/>
      <c r="H118" s="233" t="s">
        <v>372</v>
      </c>
      <c r="I118" s="233" t="s">
        <v>375</v>
      </c>
      <c r="J118" s="240" t="s">
        <v>382</v>
      </c>
      <c r="K118" s="233"/>
      <c r="L118" s="242"/>
      <c r="M118" s="235" t="str">
        <f t="shared" si="1"/>
        <v/>
      </c>
      <c r="N118" s="275">
        <v>90.0</v>
      </c>
      <c r="O118" s="236"/>
      <c r="P118" s="236"/>
      <c r="Q118" s="236"/>
      <c r="R118" s="236"/>
      <c r="S118" s="236">
        <f t="shared" si="7"/>
        <v>0</v>
      </c>
      <c r="T118" s="236"/>
      <c r="U118" s="236"/>
      <c r="V118" s="236"/>
      <c r="W118" s="236"/>
      <c r="X118" s="236">
        <f t="shared" si="2"/>
        <v>0</v>
      </c>
      <c r="Y118" s="236"/>
      <c r="Z118" s="236">
        <f t="shared" si="8"/>
        <v>0</v>
      </c>
      <c r="AA118" s="236"/>
      <c r="AB118" s="236"/>
      <c r="AC118" s="236"/>
    </row>
    <row r="119" ht="13.5" customHeight="1">
      <c r="A119" s="227">
        <v>121.0</v>
      </c>
      <c r="B119" s="228" t="s">
        <v>329</v>
      </c>
      <c r="C119" s="270" t="s">
        <v>316</v>
      </c>
      <c r="D119" s="230">
        <v>632.0</v>
      </c>
      <c r="E119" s="244"/>
      <c r="F119" s="231">
        <v>4.6</v>
      </c>
      <c r="G119" s="232"/>
      <c r="H119" s="233" t="s">
        <v>372</v>
      </c>
      <c r="I119" s="233" t="s">
        <v>387</v>
      </c>
      <c r="J119" s="240" t="s">
        <v>382</v>
      </c>
      <c r="K119" s="233"/>
      <c r="L119" s="242"/>
      <c r="M119" s="235" t="str">
        <f t="shared" si="1"/>
        <v/>
      </c>
      <c r="N119" s="275">
        <v>78.0</v>
      </c>
      <c r="O119" s="236"/>
      <c r="P119" s="236"/>
      <c r="Q119" s="236"/>
      <c r="R119" s="236"/>
      <c r="S119" s="236">
        <f t="shared" si="7"/>
        <v>0</v>
      </c>
      <c r="T119" s="236"/>
      <c r="U119" s="236"/>
      <c r="V119" s="236"/>
      <c r="W119" s="236"/>
      <c r="X119" s="236">
        <f t="shared" si="2"/>
        <v>0</v>
      </c>
      <c r="Y119" s="236"/>
      <c r="Z119" s="236">
        <f t="shared" si="8"/>
        <v>0</v>
      </c>
      <c r="AA119" s="236"/>
      <c r="AB119" s="236"/>
      <c r="AC119" s="236"/>
    </row>
    <row r="120" ht="13.5" customHeight="1">
      <c r="A120" s="227">
        <v>122.0</v>
      </c>
      <c r="B120" s="228" t="s">
        <v>330</v>
      </c>
      <c r="C120" s="270" t="s">
        <v>316</v>
      </c>
      <c r="D120" s="230">
        <v>633.0</v>
      </c>
      <c r="E120" s="244"/>
      <c r="F120" s="231">
        <v>26.27</v>
      </c>
      <c r="G120" s="232"/>
      <c r="H120" s="233" t="s">
        <v>367</v>
      </c>
      <c r="I120" s="233" t="s">
        <v>368</v>
      </c>
      <c r="J120" s="258" t="s">
        <v>413</v>
      </c>
      <c r="K120" s="233"/>
      <c r="L120" s="242"/>
      <c r="M120" s="235" t="str">
        <f t="shared" si="1"/>
        <v/>
      </c>
      <c r="N120" s="275">
        <v>78.0</v>
      </c>
      <c r="O120" s="236"/>
      <c r="P120" s="236"/>
      <c r="Q120" s="236"/>
      <c r="R120" s="236"/>
      <c r="S120" s="236">
        <f t="shared" si="7"/>
        <v>0</v>
      </c>
      <c r="T120" s="236"/>
      <c r="U120" s="236"/>
      <c r="V120" s="236"/>
      <c r="W120" s="236"/>
      <c r="X120" s="236">
        <f t="shared" si="2"/>
        <v>0</v>
      </c>
      <c r="Y120" s="236"/>
      <c r="Z120" s="236">
        <f t="shared" si="8"/>
        <v>0</v>
      </c>
      <c r="AA120" s="236"/>
      <c r="AB120" s="236"/>
      <c r="AC120" s="236"/>
    </row>
    <row r="121" ht="13.5" customHeight="1">
      <c r="A121" s="227">
        <v>123.0</v>
      </c>
      <c r="B121" s="228" t="s">
        <v>331</v>
      </c>
      <c r="C121" s="270" t="s">
        <v>316</v>
      </c>
      <c r="D121" s="230">
        <v>634.0</v>
      </c>
      <c r="E121" s="244"/>
      <c r="F121" s="231">
        <v>93.5</v>
      </c>
      <c r="G121" s="232"/>
      <c r="H121" s="233" t="s">
        <v>372</v>
      </c>
      <c r="I121" s="233" t="s">
        <v>373</v>
      </c>
      <c r="J121" s="240" t="s">
        <v>382</v>
      </c>
      <c r="K121" s="233"/>
      <c r="L121" s="242"/>
      <c r="M121" s="235" t="str">
        <f t="shared" si="1"/>
        <v/>
      </c>
      <c r="N121" s="275">
        <v>90.0</v>
      </c>
      <c r="O121" s="236"/>
      <c r="P121" s="236"/>
      <c r="Q121" s="236"/>
      <c r="R121" s="236"/>
      <c r="S121" s="236">
        <f t="shared" si="7"/>
        <v>0</v>
      </c>
      <c r="T121" s="236"/>
      <c r="U121" s="236"/>
      <c r="V121" s="236"/>
      <c r="W121" s="236"/>
      <c r="X121" s="236">
        <f t="shared" si="2"/>
        <v>0</v>
      </c>
      <c r="Y121" s="236"/>
      <c r="Z121" s="236">
        <f t="shared" si="8"/>
        <v>0</v>
      </c>
      <c r="AA121" s="236"/>
      <c r="AB121" s="236"/>
      <c r="AC121" s="236"/>
    </row>
    <row r="122" ht="13.5" customHeight="1">
      <c r="A122" s="227">
        <v>124.0</v>
      </c>
      <c r="B122" s="228" t="s">
        <v>332</v>
      </c>
      <c r="C122" s="270" t="s">
        <v>316</v>
      </c>
      <c r="D122" s="230">
        <v>635.0</v>
      </c>
      <c r="E122" s="244"/>
      <c r="F122" s="231">
        <v>183.7</v>
      </c>
      <c r="G122" s="232"/>
      <c r="H122" s="233" t="s">
        <v>385</v>
      </c>
      <c r="I122" s="233" t="s">
        <v>386</v>
      </c>
      <c r="J122" s="240" t="s">
        <v>382</v>
      </c>
      <c r="K122" s="233"/>
      <c r="L122" s="242"/>
      <c r="M122" s="235" t="str">
        <f t="shared" si="1"/>
        <v/>
      </c>
      <c r="N122" s="275">
        <v>90.0</v>
      </c>
      <c r="O122" s="236"/>
      <c r="P122" s="236"/>
      <c r="Q122" s="236"/>
      <c r="R122" s="236"/>
      <c r="S122" s="236">
        <f t="shared" si="7"/>
        <v>0</v>
      </c>
      <c r="T122" s="236"/>
      <c r="U122" s="236"/>
      <c r="V122" s="236"/>
      <c r="W122" s="236"/>
      <c r="X122" s="236">
        <f t="shared" si="2"/>
        <v>0</v>
      </c>
      <c r="Y122" s="236"/>
      <c r="Z122" s="236">
        <f t="shared" si="8"/>
        <v>0</v>
      </c>
      <c r="AA122" s="236"/>
      <c r="AB122" s="236"/>
      <c r="AC122" s="236"/>
    </row>
    <row r="123" ht="13.5" customHeight="1">
      <c r="A123" s="227">
        <v>125.0</v>
      </c>
      <c r="B123" s="228" t="s">
        <v>333</v>
      </c>
      <c r="C123" s="270" t="s">
        <v>316</v>
      </c>
      <c r="D123" s="230">
        <v>636.0</v>
      </c>
      <c r="E123" s="244"/>
      <c r="F123" s="231">
        <v>19.8</v>
      </c>
      <c r="G123" s="232"/>
      <c r="H123" s="233" t="s">
        <v>385</v>
      </c>
      <c r="I123" s="233" t="s">
        <v>386</v>
      </c>
      <c r="J123" s="240" t="s">
        <v>382</v>
      </c>
      <c r="K123" s="233"/>
      <c r="L123" s="242"/>
      <c r="M123" s="235" t="str">
        <f t="shared" si="1"/>
        <v/>
      </c>
      <c r="N123" s="275">
        <v>90.0</v>
      </c>
      <c r="O123" s="236"/>
      <c r="P123" s="236"/>
      <c r="Q123" s="236"/>
      <c r="R123" s="236"/>
      <c r="S123" s="236">
        <f t="shared" si="7"/>
        <v>0</v>
      </c>
      <c r="T123" s="236"/>
      <c r="U123" s="236"/>
      <c r="V123" s="236"/>
      <c r="W123" s="236"/>
      <c r="X123" s="236">
        <f t="shared" si="2"/>
        <v>0</v>
      </c>
      <c r="Y123" s="236"/>
      <c r="Z123" s="236">
        <f t="shared" si="8"/>
        <v>0</v>
      </c>
      <c r="AA123" s="236"/>
      <c r="AB123" s="236"/>
      <c r="AC123" s="236"/>
    </row>
    <row r="124" ht="13.5" customHeight="1">
      <c r="A124" s="227">
        <v>126.0</v>
      </c>
      <c r="B124" s="228" t="s">
        <v>334</v>
      </c>
      <c r="C124" s="270" t="s">
        <v>316</v>
      </c>
      <c r="D124" s="230">
        <v>637.0</v>
      </c>
      <c r="E124" s="230">
        <v>950.0</v>
      </c>
      <c r="F124" s="231">
        <v>399.63</v>
      </c>
      <c r="G124" s="232"/>
      <c r="H124" s="233" t="s">
        <v>367</v>
      </c>
      <c r="I124" s="233" t="s">
        <v>368</v>
      </c>
      <c r="J124" s="258" t="s">
        <v>414</v>
      </c>
      <c r="K124" s="233"/>
      <c r="L124" s="242"/>
      <c r="M124" s="235" t="str">
        <f t="shared" si="1"/>
        <v/>
      </c>
      <c r="N124" s="275">
        <v>90.0</v>
      </c>
      <c r="O124" s="236"/>
      <c r="P124" s="236"/>
      <c r="Q124" s="236"/>
      <c r="R124" s="236"/>
      <c r="S124" s="236">
        <f t="shared" si="7"/>
        <v>0</v>
      </c>
      <c r="T124" s="236"/>
      <c r="U124" s="236"/>
      <c r="V124" s="236"/>
      <c r="W124" s="236"/>
      <c r="X124" s="236">
        <f t="shared" si="2"/>
        <v>0</v>
      </c>
      <c r="Y124" s="236"/>
      <c r="Z124" s="236">
        <f t="shared" si="8"/>
        <v>0</v>
      </c>
      <c r="AA124" s="236"/>
      <c r="AB124" s="236"/>
      <c r="AC124" s="236"/>
    </row>
    <row r="125" ht="13.5" customHeight="1">
      <c r="A125" s="227">
        <v>127.0</v>
      </c>
      <c r="B125" s="228" t="s">
        <v>335</v>
      </c>
      <c r="C125" s="270" t="s">
        <v>336</v>
      </c>
      <c r="D125" s="244"/>
      <c r="E125" s="230">
        <v>287.0</v>
      </c>
      <c r="F125" s="231">
        <v>499.95</v>
      </c>
      <c r="G125" s="232"/>
      <c r="H125" s="233" t="s">
        <v>372</v>
      </c>
      <c r="I125" s="233" t="s">
        <v>375</v>
      </c>
      <c r="J125" s="276">
        <v>43868.0</v>
      </c>
      <c r="K125" s="233"/>
      <c r="L125" s="242"/>
      <c r="M125" s="235" t="str">
        <f t="shared" si="1"/>
        <v>Próxima a vencer</v>
      </c>
      <c r="N125" s="236"/>
      <c r="O125" s="236"/>
      <c r="P125" s="236"/>
      <c r="Q125" s="237">
        <v>45836.0</v>
      </c>
      <c r="R125" s="237">
        <v>46200.0</v>
      </c>
      <c r="S125" s="236">
        <f t="shared" si="7"/>
        <v>1</v>
      </c>
      <c r="T125" s="238">
        <v>46082.0</v>
      </c>
      <c r="U125" s="236"/>
      <c r="V125" s="236"/>
      <c r="W125" s="236"/>
      <c r="X125" s="236">
        <f t="shared" si="2"/>
        <v>0</v>
      </c>
      <c r="Y125" s="236"/>
      <c r="Z125" s="236">
        <f t="shared" si="8"/>
        <v>0</v>
      </c>
      <c r="AA125" s="236"/>
      <c r="AB125" s="236"/>
      <c r="AC125" s="236"/>
    </row>
    <row r="126" ht="13.5" customHeight="1">
      <c r="A126" s="277">
        <v>128.0</v>
      </c>
      <c r="B126" s="278" t="s">
        <v>415</v>
      </c>
      <c r="C126" s="279" t="s">
        <v>256</v>
      </c>
      <c r="D126" s="280">
        <v>169.0</v>
      </c>
      <c r="E126" s="280">
        <v>827.0</v>
      </c>
      <c r="F126" s="281">
        <v>628.4</v>
      </c>
      <c r="G126" s="282"/>
      <c r="H126" s="233" t="s">
        <v>378</v>
      </c>
      <c r="I126" s="283" t="s">
        <v>379</v>
      </c>
      <c r="J126" s="257">
        <v>45661.0</v>
      </c>
      <c r="K126" s="283"/>
      <c r="L126" s="284"/>
      <c r="M126" s="235" t="str">
        <f t="shared" si="1"/>
        <v/>
      </c>
      <c r="N126" s="285"/>
      <c r="O126" s="285"/>
      <c r="P126" s="285"/>
      <c r="Q126" s="285"/>
      <c r="R126" s="285"/>
      <c r="S126" s="285">
        <f t="shared" si="7"/>
        <v>0</v>
      </c>
      <c r="T126" s="286">
        <v>46082.0</v>
      </c>
      <c r="U126" s="287">
        <v>46090.0</v>
      </c>
      <c r="V126" s="287">
        <v>46090.0</v>
      </c>
      <c r="W126" s="287">
        <v>46093.0</v>
      </c>
      <c r="X126" s="285">
        <f t="shared" si="2"/>
        <v>3</v>
      </c>
      <c r="Y126" s="287">
        <v>46097.0</v>
      </c>
      <c r="Z126" s="285">
        <f t="shared" si="8"/>
        <v>4</v>
      </c>
      <c r="AA126" s="285"/>
      <c r="AB126" s="285"/>
      <c r="AC126" s="285"/>
    </row>
    <row r="127" ht="13.5" hidden="1" customHeight="1">
      <c r="A127" s="277"/>
      <c r="B127" s="277"/>
      <c r="C127" s="288"/>
      <c r="D127" s="289"/>
      <c r="E127" s="289"/>
      <c r="F127" s="290"/>
      <c r="G127" s="291"/>
      <c r="H127" s="292"/>
      <c r="I127" s="292"/>
      <c r="J127" s="285"/>
      <c r="K127" s="293"/>
      <c r="L127" s="294"/>
      <c r="M127" s="295" t="str">
        <f t="shared" si="1"/>
        <v/>
      </c>
      <c r="N127" s="296"/>
      <c r="O127" s="296"/>
      <c r="P127" s="296"/>
      <c r="Q127" s="296"/>
      <c r="R127" s="296"/>
      <c r="S127" s="296">
        <f t="shared" si="7"/>
        <v>0</v>
      </c>
      <c r="T127" s="297"/>
      <c r="U127" s="298"/>
      <c r="V127" s="298"/>
      <c r="W127" s="298"/>
      <c r="X127" s="296">
        <f t="shared" si="2"/>
        <v>0</v>
      </c>
      <c r="Y127" s="298"/>
      <c r="Z127" s="296">
        <f t="shared" si="8"/>
        <v>0</v>
      </c>
      <c r="AA127" s="296"/>
      <c r="AB127" s="296"/>
      <c r="AC127" s="296"/>
    </row>
    <row r="128" ht="13.5" hidden="1" customHeight="1">
      <c r="A128" s="277"/>
      <c r="B128" s="277"/>
      <c r="C128" s="288"/>
      <c r="D128" s="289"/>
      <c r="E128" s="289"/>
      <c r="F128" s="290"/>
      <c r="G128" s="291"/>
      <c r="H128" s="292"/>
      <c r="I128" s="292"/>
      <c r="J128" s="285"/>
      <c r="K128" s="293"/>
      <c r="L128" s="294"/>
      <c r="M128" s="295" t="str">
        <f t="shared" si="1"/>
        <v/>
      </c>
      <c r="N128" s="296"/>
      <c r="O128" s="296"/>
      <c r="P128" s="296"/>
      <c r="Q128" s="296"/>
      <c r="R128" s="296"/>
      <c r="S128" s="296">
        <f t="shared" si="7"/>
        <v>0</v>
      </c>
      <c r="T128" s="297"/>
      <c r="U128" s="298"/>
      <c r="V128" s="298"/>
      <c r="W128" s="298"/>
      <c r="X128" s="296">
        <f t="shared" si="2"/>
        <v>0</v>
      </c>
      <c r="Y128" s="298"/>
      <c r="Z128" s="296">
        <f t="shared" si="8"/>
        <v>0</v>
      </c>
      <c r="AA128" s="296"/>
      <c r="AB128" s="296"/>
      <c r="AC128" s="296"/>
    </row>
    <row r="129" ht="13.5" hidden="1" customHeight="1">
      <c r="A129" s="277"/>
      <c r="B129" s="277"/>
      <c r="C129" s="288"/>
      <c r="D129" s="289"/>
      <c r="E129" s="289"/>
      <c r="F129" s="290"/>
      <c r="G129" s="291"/>
      <c r="H129" s="292"/>
      <c r="I129" s="292"/>
      <c r="J129" s="285"/>
      <c r="K129" s="293"/>
      <c r="L129" s="294"/>
      <c r="M129" s="295" t="str">
        <f t="shared" si="1"/>
        <v/>
      </c>
      <c r="N129" s="296"/>
      <c r="O129" s="296"/>
      <c r="P129" s="296"/>
      <c r="Q129" s="296"/>
      <c r="R129" s="296"/>
      <c r="S129" s="296">
        <f t="shared" si="7"/>
        <v>0</v>
      </c>
      <c r="T129" s="297"/>
      <c r="U129" s="298"/>
      <c r="V129" s="298"/>
      <c r="W129" s="298"/>
      <c r="X129" s="296">
        <f t="shared" si="2"/>
        <v>0</v>
      </c>
      <c r="Y129" s="298"/>
      <c r="Z129" s="296">
        <f t="shared" si="8"/>
        <v>0</v>
      </c>
      <c r="AA129" s="296"/>
      <c r="AB129" s="296"/>
      <c r="AC129" s="296"/>
    </row>
    <row r="130" ht="13.5" hidden="1" customHeight="1">
      <c r="A130" s="277"/>
      <c r="B130" s="277"/>
      <c r="C130" s="288"/>
      <c r="D130" s="289"/>
      <c r="E130" s="289"/>
      <c r="F130" s="290"/>
      <c r="G130" s="291"/>
      <c r="H130" s="292"/>
      <c r="I130" s="292"/>
      <c r="J130" s="285"/>
      <c r="K130" s="293"/>
      <c r="L130" s="294"/>
      <c r="M130" s="295" t="str">
        <f t="shared" si="1"/>
        <v/>
      </c>
      <c r="N130" s="296"/>
      <c r="O130" s="296"/>
      <c r="P130" s="296"/>
      <c r="Q130" s="296"/>
      <c r="R130" s="296"/>
      <c r="S130" s="296">
        <f t="shared" si="7"/>
        <v>0</v>
      </c>
      <c r="T130" s="297"/>
      <c r="U130" s="298"/>
      <c r="V130" s="298"/>
      <c r="W130" s="298"/>
      <c r="X130" s="296">
        <f t="shared" si="2"/>
        <v>0</v>
      </c>
      <c r="Y130" s="298"/>
      <c r="Z130" s="296">
        <f t="shared" si="8"/>
        <v>0</v>
      </c>
      <c r="AA130" s="296"/>
      <c r="AB130" s="296"/>
      <c r="AC130" s="296"/>
    </row>
    <row r="131" ht="13.5" hidden="1" customHeight="1">
      <c r="A131" s="277"/>
      <c r="B131" s="277"/>
      <c r="C131" s="288"/>
      <c r="D131" s="289"/>
      <c r="E131" s="289"/>
      <c r="F131" s="290"/>
      <c r="G131" s="291"/>
      <c r="H131" s="292"/>
      <c r="I131" s="292"/>
      <c r="J131" s="285"/>
      <c r="K131" s="293"/>
      <c r="L131" s="294"/>
      <c r="M131" s="295" t="str">
        <f t="shared" si="1"/>
        <v/>
      </c>
      <c r="N131" s="296"/>
      <c r="O131" s="296"/>
      <c r="P131" s="296"/>
      <c r="Q131" s="296"/>
      <c r="R131" s="296"/>
      <c r="S131" s="296">
        <f t="shared" si="7"/>
        <v>0</v>
      </c>
      <c r="T131" s="297"/>
      <c r="U131" s="298"/>
      <c r="V131" s="298"/>
      <c r="W131" s="298"/>
      <c r="X131" s="296">
        <f t="shared" si="2"/>
        <v>0</v>
      </c>
      <c r="Y131" s="298"/>
      <c r="Z131" s="296">
        <f t="shared" si="8"/>
        <v>0</v>
      </c>
      <c r="AA131" s="296"/>
      <c r="AB131" s="296"/>
      <c r="AC131" s="296"/>
    </row>
    <row r="132" ht="13.5" hidden="1" customHeight="1">
      <c r="A132" s="277"/>
      <c r="B132" s="277"/>
      <c r="C132" s="288"/>
      <c r="D132" s="289"/>
      <c r="E132" s="289"/>
      <c r="F132" s="290"/>
      <c r="G132" s="291"/>
      <c r="H132" s="292"/>
      <c r="I132" s="292"/>
      <c r="J132" s="285"/>
      <c r="K132" s="293"/>
      <c r="L132" s="294"/>
      <c r="M132" s="295" t="str">
        <f t="shared" si="1"/>
        <v/>
      </c>
      <c r="N132" s="296"/>
      <c r="O132" s="296"/>
      <c r="P132" s="296"/>
      <c r="Q132" s="296"/>
      <c r="R132" s="296"/>
      <c r="S132" s="296">
        <f t="shared" si="7"/>
        <v>0</v>
      </c>
      <c r="T132" s="297"/>
      <c r="U132" s="298"/>
      <c r="V132" s="298"/>
      <c r="W132" s="298"/>
      <c r="X132" s="296">
        <f t="shared" si="2"/>
        <v>0</v>
      </c>
      <c r="Y132" s="298"/>
      <c r="Z132" s="296">
        <f t="shared" si="8"/>
        <v>0</v>
      </c>
      <c r="AA132" s="296"/>
      <c r="AB132" s="296"/>
      <c r="AC132" s="296"/>
    </row>
    <row r="133" ht="13.5" hidden="1" customHeight="1">
      <c r="A133" s="277"/>
      <c r="B133" s="277"/>
      <c r="C133" s="288"/>
      <c r="D133" s="289"/>
      <c r="E133" s="289"/>
      <c r="F133" s="290"/>
      <c r="G133" s="291"/>
      <c r="H133" s="292"/>
      <c r="I133" s="292"/>
      <c r="J133" s="285"/>
      <c r="K133" s="293"/>
      <c r="L133" s="294"/>
      <c r="M133" s="295" t="str">
        <f t="shared" si="1"/>
        <v/>
      </c>
      <c r="N133" s="296"/>
      <c r="O133" s="296"/>
      <c r="P133" s="296"/>
      <c r="Q133" s="296"/>
      <c r="R133" s="296"/>
      <c r="S133" s="296">
        <f t="shared" si="7"/>
        <v>0</v>
      </c>
      <c r="T133" s="297"/>
      <c r="U133" s="298"/>
      <c r="V133" s="298"/>
      <c r="W133" s="298"/>
      <c r="X133" s="296">
        <f t="shared" si="2"/>
        <v>0</v>
      </c>
      <c r="Y133" s="298"/>
      <c r="Z133" s="296">
        <f t="shared" si="8"/>
        <v>0</v>
      </c>
      <c r="AA133" s="296"/>
      <c r="AB133" s="296"/>
      <c r="AC133" s="296"/>
    </row>
    <row r="134" ht="13.5" hidden="1" customHeight="1">
      <c r="A134" s="277"/>
      <c r="B134" s="277"/>
      <c r="C134" s="288"/>
      <c r="D134" s="289"/>
      <c r="E134" s="289"/>
      <c r="F134" s="290"/>
      <c r="G134" s="291"/>
      <c r="H134" s="292"/>
      <c r="I134" s="292"/>
      <c r="J134" s="285"/>
      <c r="K134" s="293"/>
      <c r="L134" s="294"/>
      <c r="M134" s="295" t="str">
        <f t="shared" si="1"/>
        <v/>
      </c>
      <c r="N134" s="296"/>
      <c r="O134" s="296"/>
      <c r="P134" s="296"/>
      <c r="Q134" s="296"/>
      <c r="R134" s="296"/>
      <c r="S134" s="296">
        <f t="shared" si="7"/>
        <v>0</v>
      </c>
      <c r="T134" s="297"/>
      <c r="U134" s="298"/>
      <c r="V134" s="298"/>
      <c r="W134" s="298"/>
      <c r="X134" s="296">
        <f t="shared" si="2"/>
        <v>0</v>
      </c>
      <c r="Y134" s="298"/>
      <c r="Z134" s="296">
        <f t="shared" si="8"/>
        <v>0</v>
      </c>
      <c r="AA134" s="296"/>
      <c r="AB134" s="296"/>
      <c r="AC134" s="296"/>
    </row>
    <row r="135" ht="13.5" hidden="1" customHeight="1">
      <c r="A135" s="277"/>
      <c r="B135" s="277"/>
      <c r="C135" s="288"/>
      <c r="D135" s="289"/>
      <c r="E135" s="289"/>
      <c r="F135" s="290"/>
      <c r="G135" s="291"/>
      <c r="H135" s="292"/>
      <c r="I135" s="292"/>
      <c r="J135" s="285"/>
      <c r="K135" s="293"/>
      <c r="L135" s="294"/>
      <c r="M135" s="295" t="str">
        <f t="shared" si="1"/>
        <v/>
      </c>
      <c r="N135" s="296"/>
      <c r="O135" s="296"/>
      <c r="P135" s="296"/>
      <c r="Q135" s="296"/>
      <c r="R135" s="296"/>
      <c r="S135" s="296">
        <f t="shared" si="7"/>
        <v>0</v>
      </c>
      <c r="T135" s="297"/>
      <c r="U135" s="298"/>
      <c r="V135" s="298"/>
      <c r="W135" s="298"/>
      <c r="X135" s="296">
        <f t="shared" si="2"/>
        <v>0</v>
      </c>
      <c r="Y135" s="298"/>
      <c r="Z135" s="296">
        <f t="shared" si="8"/>
        <v>0</v>
      </c>
      <c r="AA135" s="296"/>
      <c r="AB135" s="296"/>
      <c r="AC135" s="296"/>
    </row>
    <row r="136" ht="13.5" hidden="1" customHeight="1">
      <c r="A136" s="277"/>
      <c r="B136" s="277"/>
      <c r="C136" s="288"/>
      <c r="D136" s="289"/>
      <c r="E136" s="289"/>
      <c r="F136" s="290"/>
      <c r="G136" s="291"/>
      <c r="H136" s="292"/>
      <c r="I136" s="292"/>
      <c r="J136" s="285"/>
      <c r="K136" s="293"/>
      <c r="L136" s="294"/>
      <c r="M136" s="295" t="str">
        <f t="shared" si="1"/>
        <v/>
      </c>
      <c r="N136" s="296"/>
      <c r="O136" s="296"/>
      <c r="P136" s="296"/>
      <c r="Q136" s="296"/>
      <c r="R136" s="296"/>
      <c r="S136" s="296">
        <f t="shared" si="7"/>
        <v>0</v>
      </c>
      <c r="T136" s="297"/>
      <c r="U136" s="298"/>
      <c r="V136" s="298"/>
      <c r="W136" s="298"/>
      <c r="X136" s="296">
        <f t="shared" si="2"/>
        <v>0</v>
      </c>
      <c r="Y136" s="298"/>
      <c r="Z136" s="296">
        <f t="shared" si="8"/>
        <v>0</v>
      </c>
      <c r="AA136" s="296"/>
      <c r="AB136" s="296"/>
      <c r="AC136" s="296"/>
    </row>
    <row r="137" ht="13.5" hidden="1" customHeight="1">
      <c r="A137" s="277"/>
      <c r="B137" s="277"/>
      <c r="C137" s="288"/>
      <c r="D137" s="289"/>
      <c r="E137" s="289"/>
      <c r="F137" s="290"/>
      <c r="G137" s="291"/>
      <c r="H137" s="292"/>
      <c r="I137" s="292"/>
      <c r="J137" s="285"/>
      <c r="K137" s="293"/>
      <c r="L137" s="294"/>
      <c r="M137" s="295" t="str">
        <f t="shared" si="1"/>
        <v/>
      </c>
      <c r="N137" s="296"/>
      <c r="O137" s="296"/>
      <c r="P137" s="296"/>
      <c r="Q137" s="296"/>
      <c r="R137" s="296"/>
      <c r="S137" s="296">
        <f t="shared" si="7"/>
        <v>0</v>
      </c>
      <c r="T137" s="297"/>
      <c r="U137" s="298"/>
      <c r="V137" s="298"/>
      <c r="W137" s="298"/>
      <c r="X137" s="296">
        <f t="shared" si="2"/>
        <v>0</v>
      </c>
      <c r="Y137" s="298"/>
      <c r="Z137" s="296">
        <f t="shared" si="8"/>
        <v>0</v>
      </c>
      <c r="AA137" s="296"/>
      <c r="AB137" s="296"/>
      <c r="AC137" s="296"/>
    </row>
    <row r="138" ht="13.5" hidden="1" customHeight="1">
      <c r="A138" s="277"/>
      <c r="B138" s="277"/>
      <c r="C138" s="288"/>
      <c r="D138" s="289"/>
      <c r="E138" s="289"/>
      <c r="F138" s="290"/>
      <c r="G138" s="291"/>
      <c r="H138" s="292"/>
      <c r="I138" s="292"/>
      <c r="J138" s="285"/>
      <c r="K138" s="293"/>
      <c r="L138" s="294"/>
      <c r="M138" s="295" t="str">
        <f t="shared" si="1"/>
        <v/>
      </c>
      <c r="N138" s="296"/>
      <c r="O138" s="296"/>
      <c r="P138" s="296"/>
      <c r="Q138" s="296"/>
      <c r="R138" s="296"/>
      <c r="S138" s="296">
        <f t="shared" si="7"/>
        <v>0</v>
      </c>
      <c r="T138" s="297"/>
      <c r="U138" s="298"/>
      <c r="V138" s="298"/>
      <c r="W138" s="298"/>
      <c r="X138" s="296">
        <f t="shared" si="2"/>
        <v>0</v>
      </c>
      <c r="Y138" s="298"/>
      <c r="Z138" s="296">
        <f t="shared" si="8"/>
        <v>0</v>
      </c>
      <c r="AA138" s="296"/>
      <c r="AB138" s="296"/>
      <c r="AC138" s="296"/>
    </row>
    <row r="139" ht="13.5" hidden="1" customHeight="1">
      <c r="A139" s="277"/>
      <c r="B139" s="277"/>
      <c r="C139" s="288"/>
      <c r="D139" s="289"/>
      <c r="E139" s="289"/>
      <c r="F139" s="290"/>
      <c r="G139" s="291"/>
      <c r="H139" s="292"/>
      <c r="I139" s="292"/>
      <c r="J139" s="285"/>
      <c r="K139" s="293"/>
      <c r="L139" s="294"/>
      <c r="M139" s="295" t="str">
        <f t="shared" si="1"/>
        <v/>
      </c>
      <c r="N139" s="296"/>
      <c r="O139" s="296"/>
      <c r="P139" s="296"/>
      <c r="Q139" s="296"/>
      <c r="R139" s="296"/>
      <c r="S139" s="296">
        <f t="shared" si="7"/>
        <v>0</v>
      </c>
      <c r="T139" s="297"/>
      <c r="U139" s="298"/>
      <c r="V139" s="298"/>
      <c r="W139" s="298"/>
      <c r="X139" s="296">
        <f t="shared" si="2"/>
        <v>0</v>
      </c>
      <c r="Y139" s="298"/>
      <c r="Z139" s="296">
        <f t="shared" si="8"/>
        <v>0</v>
      </c>
      <c r="AA139" s="296"/>
      <c r="AB139" s="296"/>
      <c r="AC139" s="296"/>
    </row>
    <row r="140" ht="13.5" hidden="1" customHeight="1">
      <c r="A140" s="277"/>
      <c r="B140" s="277"/>
      <c r="C140" s="288"/>
      <c r="D140" s="289"/>
      <c r="E140" s="289"/>
      <c r="F140" s="290"/>
      <c r="G140" s="291"/>
      <c r="H140" s="292"/>
      <c r="I140" s="292"/>
      <c r="J140" s="285"/>
      <c r="K140" s="293"/>
      <c r="L140" s="294"/>
      <c r="M140" s="295" t="str">
        <f t="shared" si="1"/>
        <v/>
      </c>
      <c r="N140" s="296"/>
      <c r="O140" s="296"/>
      <c r="P140" s="296"/>
      <c r="Q140" s="296"/>
      <c r="R140" s="296"/>
      <c r="S140" s="296">
        <f t="shared" si="7"/>
        <v>0</v>
      </c>
      <c r="T140" s="297"/>
      <c r="U140" s="298"/>
      <c r="V140" s="298"/>
      <c r="W140" s="298"/>
      <c r="X140" s="296">
        <f t="shared" si="2"/>
        <v>0</v>
      </c>
      <c r="Y140" s="298"/>
      <c r="Z140" s="296">
        <f t="shared" si="8"/>
        <v>0</v>
      </c>
      <c r="AA140" s="296"/>
      <c r="AB140" s="296"/>
      <c r="AC140" s="296"/>
    </row>
    <row r="141" ht="13.5" hidden="1" customHeight="1">
      <c r="A141" s="277"/>
      <c r="B141" s="277"/>
      <c r="C141" s="288"/>
      <c r="D141" s="289"/>
      <c r="E141" s="289"/>
      <c r="F141" s="290"/>
      <c r="G141" s="291"/>
      <c r="H141" s="292"/>
      <c r="I141" s="292"/>
      <c r="J141" s="285"/>
      <c r="K141" s="293"/>
      <c r="L141" s="294"/>
      <c r="M141" s="295" t="str">
        <f t="shared" si="1"/>
        <v/>
      </c>
      <c r="N141" s="296"/>
      <c r="O141" s="296"/>
      <c r="P141" s="296"/>
      <c r="Q141" s="296"/>
      <c r="R141" s="296"/>
      <c r="S141" s="296">
        <f t="shared" si="7"/>
        <v>0</v>
      </c>
      <c r="T141" s="297"/>
      <c r="U141" s="298"/>
      <c r="V141" s="298"/>
      <c r="W141" s="298"/>
      <c r="X141" s="296">
        <f t="shared" si="2"/>
        <v>0</v>
      </c>
      <c r="Y141" s="298"/>
      <c r="Z141" s="296">
        <f t="shared" si="8"/>
        <v>0</v>
      </c>
      <c r="AA141" s="296"/>
      <c r="AB141" s="296"/>
      <c r="AC141" s="296"/>
    </row>
    <row r="142" ht="13.5" hidden="1" customHeight="1">
      <c r="A142" s="277"/>
      <c r="B142" s="277"/>
      <c r="C142" s="288"/>
      <c r="D142" s="289"/>
      <c r="E142" s="289"/>
      <c r="F142" s="290"/>
      <c r="G142" s="291"/>
      <c r="H142" s="292"/>
      <c r="I142" s="292"/>
      <c r="J142" s="285"/>
      <c r="K142" s="293"/>
      <c r="L142" s="294"/>
      <c r="M142" s="295" t="str">
        <f t="shared" si="1"/>
        <v/>
      </c>
      <c r="N142" s="296"/>
      <c r="O142" s="296"/>
      <c r="P142" s="296"/>
      <c r="Q142" s="296"/>
      <c r="R142" s="296"/>
      <c r="S142" s="296">
        <f t="shared" si="7"/>
        <v>0</v>
      </c>
      <c r="T142" s="297"/>
      <c r="U142" s="298"/>
      <c r="V142" s="298"/>
      <c r="W142" s="298"/>
      <c r="X142" s="296">
        <f t="shared" si="2"/>
        <v>0</v>
      </c>
      <c r="Y142" s="298"/>
      <c r="Z142" s="296">
        <f t="shared" si="8"/>
        <v>0</v>
      </c>
      <c r="AA142" s="296"/>
      <c r="AB142" s="296"/>
      <c r="AC142" s="296"/>
    </row>
    <row r="143" ht="13.5" hidden="1" customHeight="1">
      <c r="A143" s="277"/>
      <c r="B143" s="277"/>
      <c r="C143" s="288"/>
      <c r="D143" s="289"/>
      <c r="E143" s="289"/>
      <c r="F143" s="290"/>
      <c r="G143" s="291"/>
      <c r="H143" s="292"/>
      <c r="I143" s="292"/>
      <c r="J143" s="285"/>
      <c r="K143" s="293"/>
      <c r="L143" s="294"/>
      <c r="M143" s="295" t="str">
        <f t="shared" si="1"/>
        <v/>
      </c>
      <c r="N143" s="296"/>
      <c r="O143" s="296"/>
      <c r="P143" s="296"/>
      <c r="Q143" s="296"/>
      <c r="R143" s="296"/>
      <c r="S143" s="296">
        <f t="shared" si="7"/>
        <v>0</v>
      </c>
      <c r="T143" s="297"/>
      <c r="U143" s="298"/>
      <c r="V143" s="298"/>
      <c r="W143" s="298"/>
      <c r="X143" s="296">
        <f t="shared" si="2"/>
        <v>0</v>
      </c>
      <c r="Y143" s="298"/>
      <c r="Z143" s="296">
        <f t="shared" si="8"/>
        <v>0</v>
      </c>
      <c r="AA143" s="296"/>
      <c r="AB143" s="296"/>
      <c r="AC143" s="296"/>
    </row>
    <row r="144" ht="13.5" hidden="1" customHeight="1">
      <c r="A144" s="277"/>
      <c r="B144" s="277"/>
      <c r="C144" s="288"/>
      <c r="D144" s="289"/>
      <c r="E144" s="289"/>
      <c r="F144" s="290"/>
      <c r="G144" s="291"/>
      <c r="H144" s="292"/>
      <c r="I144" s="292"/>
      <c r="J144" s="285"/>
      <c r="K144" s="293"/>
      <c r="L144" s="294"/>
      <c r="M144" s="295" t="str">
        <f t="shared" si="1"/>
        <v/>
      </c>
      <c r="N144" s="296"/>
      <c r="O144" s="296"/>
      <c r="P144" s="296"/>
      <c r="Q144" s="296"/>
      <c r="R144" s="296"/>
      <c r="S144" s="296">
        <f t="shared" si="7"/>
        <v>0</v>
      </c>
      <c r="T144" s="297"/>
      <c r="U144" s="298"/>
      <c r="V144" s="298"/>
      <c r="W144" s="298"/>
      <c r="X144" s="296">
        <f t="shared" si="2"/>
        <v>0</v>
      </c>
      <c r="Y144" s="298"/>
      <c r="Z144" s="296">
        <f t="shared" si="8"/>
        <v>0</v>
      </c>
      <c r="AA144" s="296"/>
      <c r="AB144" s="296"/>
      <c r="AC144" s="296"/>
    </row>
    <row r="145" ht="13.5" hidden="1" customHeight="1">
      <c r="A145" s="277"/>
      <c r="B145" s="277"/>
      <c r="C145" s="288"/>
      <c r="D145" s="289"/>
      <c r="E145" s="289"/>
      <c r="F145" s="290"/>
      <c r="G145" s="291"/>
      <c r="H145" s="292"/>
      <c r="I145" s="292"/>
      <c r="J145" s="285"/>
      <c r="K145" s="293"/>
      <c r="L145" s="294"/>
      <c r="M145" s="295" t="str">
        <f t="shared" si="1"/>
        <v/>
      </c>
      <c r="N145" s="296"/>
      <c r="O145" s="296"/>
      <c r="P145" s="296"/>
      <c r="Q145" s="296"/>
      <c r="R145" s="296"/>
      <c r="S145" s="296">
        <f t="shared" si="7"/>
        <v>0</v>
      </c>
      <c r="T145" s="297"/>
      <c r="U145" s="298"/>
      <c r="V145" s="298"/>
      <c r="W145" s="298"/>
      <c r="X145" s="296">
        <f t="shared" si="2"/>
        <v>0</v>
      </c>
      <c r="Y145" s="298"/>
      <c r="Z145" s="296">
        <f t="shared" si="8"/>
        <v>0</v>
      </c>
      <c r="AA145" s="296"/>
      <c r="AB145" s="296"/>
      <c r="AC145" s="296"/>
    </row>
    <row r="146" ht="13.5" hidden="1" customHeight="1">
      <c r="A146" s="277"/>
      <c r="B146" s="277"/>
      <c r="C146" s="288"/>
      <c r="D146" s="289"/>
      <c r="E146" s="289"/>
      <c r="F146" s="290"/>
      <c r="G146" s="291"/>
      <c r="H146" s="292"/>
      <c r="I146" s="292"/>
      <c r="J146" s="285"/>
      <c r="K146" s="293"/>
      <c r="L146" s="294"/>
      <c r="M146" s="295" t="str">
        <f t="shared" si="1"/>
        <v/>
      </c>
      <c r="N146" s="296"/>
      <c r="O146" s="296"/>
      <c r="P146" s="296"/>
      <c r="Q146" s="296"/>
      <c r="R146" s="296"/>
      <c r="S146" s="296">
        <f t="shared" si="7"/>
        <v>0</v>
      </c>
      <c r="T146" s="297"/>
      <c r="U146" s="298"/>
      <c r="V146" s="298"/>
      <c r="W146" s="298"/>
      <c r="X146" s="296">
        <f t="shared" si="2"/>
        <v>0</v>
      </c>
      <c r="Y146" s="298"/>
      <c r="Z146" s="296">
        <f t="shared" si="8"/>
        <v>0</v>
      </c>
      <c r="AA146" s="296"/>
      <c r="AB146" s="296"/>
      <c r="AC146" s="296"/>
    </row>
    <row r="147" ht="13.5" hidden="1" customHeight="1">
      <c r="A147" s="277"/>
      <c r="B147" s="277"/>
      <c r="C147" s="288"/>
      <c r="D147" s="289"/>
      <c r="E147" s="289"/>
      <c r="F147" s="290"/>
      <c r="G147" s="291"/>
      <c r="H147" s="292"/>
      <c r="I147" s="292"/>
      <c r="J147" s="285"/>
      <c r="K147" s="293"/>
      <c r="L147" s="294"/>
      <c r="M147" s="295" t="str">
        <f t="shared" si="1"/>
        <v/>
      </c>
      <c r="N147" s="296"/>
      <c r="O147" s="296"/>
      <c r="P147" s="296"/>
      <c r="Q147" s="296"/>
      <c r="R147" s="296"/>
      <c r="S147" s="296">
        <f t="shared" si="7"/>
        <v>0</v>
      </c>
      <c r="T147" s="297"/>
      <c r="U147" s="298"/>
      <c r="V147" s="298"/>
      <c r="W147" s="298"/>
      <c r="X147" s="296">
        <f t="shared" si="2"/>
        <v>0</v>
      </c>
      <c r="Y147" s="298"/>
      <c r="Z147" s="296">
        <f t="shared" si="8"/>
        <v>0</v>
      </c>
      <c r="AA147" s="296"/>
      <c r="AB147" s="296"/>
      <c r="AC147" s="296"/>
    </row>
    <row r="148" ht="13.5" hidden="1" customHeight="1">
      <c r="A148" s="277"/>
      <c r="B148" s="277"/>
      <c r="C148" s="288"/>
      <c r="D148" s="289"/>
      <c r="E148" s="289"/>
      <c r="F148" s="290"/>
      <c r="G148" s="291"/>
      <c r="H148" s="292"/>
      <c r="I148" s="292"/>
      <c r="J148" s="285"/>
      <c r="K148" s="293"/>
      <c r="L148" s="294"/>
      <c r="M148" s="295" t="str">
        <f t="shared" si="1"/>
        <v/>
      </c>
      <c r="N148" s="296"/>
      <c r="O148" s="296"/>
      <c r="P148" s="296"/>
      <c r="Q148" s="296"/>
      <c r="R148" s="296"/>
      <c r="S148" s="296">
        <f t="shared" si="7"/>
        <v>0</v>
      </c>
      <c r="T148" s="297"/>
      <c r="U148" s="298"/>
      <c r="V148" s="298"/>
      <c r="W148" s="298"/>
      <c r="X148" s="296">
        <f t="shared" si="2"/>
        <v>0</v>
      </c>
      <c r="Y148" s="298"/>
      <c r="Z148" s="296">
        <f t="shared" si="8"/>
        <v>0</v>
      </c>
      <c r="AA148" s="296"/>
      <c r="AB148" s="296"/>
      <c r="AC148" s="296"/>
    </row>
    <row r="149" ht="13.5" hidden="1" customHeight="1">
      <c r="A149" s="277"/>
      <c r="B149" s="277"/>
      <c r="C149" s="288"/>
      <c r="D149" s="289"/>
      <c r="E149" s="289"/>
      <c r="F149" s="290"/>
      <c r="G149" s="291"/>
      <c r="H149" s="292"/>
      <c r="I149" s="292"/>
      <c r="J149" s="285"/>
      <c r="K149" s="293"/>
      <c r="L149" s="294"/>
      <c r="M149" s="295" t="str">
        <f t="shared" si="1"/>
        <v/>
      </c>
      <c r="N149" s="296"/>
      <c r="O149" s="296"/>
      <c r="P149" s="296"/>
      <c r="Q149" s="296"/>
      <c r="R149" s="296"/>
      <c r="S149" s="296">
        <f t="shared" si="7"/>
        <v>0</v>
      </c>
      <c r="T149" s="297"/>
      <c r="U149" s="298"/>
      <c r="V149" s="298"/>
      <c r="W149" s="298"/>
      <c r="X149" s="296">
        <f t="shared" si="2"/>
        <v>0</v>
      </c>
      <c r="Y149" s="298"/>
      <c r="Z149" s="296">
        <f t="shared" si="8"/>
        <v>0</v>
      </c>
      <c r="AA149" s="296"/>
      <c r="AB149" s="296"/>
      <c r="AC149" s="296"/>
    </row>
    <row r="150" ht="13.5" hidden="1" customHeight="1">
      <c r="A150" s="277"/>
      <c r="B150" s="277"/>
      <c r="C150" s="288"/>
      <c r="D150" s="289"/>
      <c r="E150" s="289"/>
      <c r="F150" s="290"/>
      <c r="G150" s="291"/>
      <c r="H150" s="292"/>
      <c r="I150" s="292"/>
      <c r="J150" s="285"/>
      <c r="K150" s="293"/>
      <c r="L150" s="294"/>
      <c r="M150" s="295" t="str">
        <f t="shared" si="1"/>
        <v/>
      </c>
      <c r="N150" s="296"/>
      <c r="O150" s="296"/>
      <c r="P150" s="296"/>
      <c r="Q150" s="296"/>
      <c r="R150" s="296"/>
      <c r="S150" s="296">
        <f t="shared" si="7"/>
        <v>0</v>
      </c>
      <c r="T150" s="297"/>
      <c r="U150" s="298"/>
      <c r="V150" s="298"/>
      <c r="W150" s="298"/>
      <c r="X150" s="296">
        <f t="shared" si="2"/>
        <v>0</v>
      </c>
      <c r="Y150" s="298"/>
      <c r="Z150" s="296">
        <f t="shared" si="8"/>
        <v>0</v>
      </c>
      <c r="AA150" s="296"/>
      <c r="AB150" s="296"/>
      <c r="AC150" s="296"/>
    </row>
    <row r="151" ht="13.5" hidden="1" customHeight="1">
      <c r="A151" s="277"/>
      <c r="B151" s="277"/>
      <c r="C151" s="288"/>
      <c r="D151" s="289"/>
      <c r="E151" s="289"/>
      <c r="F151" s="290"/>
      <c r="G151" s="291"/>
      <c r="H151" s="292"/>
      <c r="I151" s="292"/>
      <c r="J151" s="285"/>
      <c r="K151" s="293"/>
      <c r="L151" s="294"/>
      <c r="M151" s="295" t="str">
        <f t="shared" si="1"/>
        <v/>
      </c>
      <c r="N151" s="296"/>
      <c r="O151" s="296"/>
      <c r="P151" s="296"/>
      <c r="Q151" s="296"/>
      <c r="R151" s="296"/>
      <c r="S151" s="296">
        <f t="shared" si="7"/>
        <v>0</v>
      </c>
      <c r="T151" s="297"/>
      <c r="U151" s="298"/>
      <c r="V151" s="298"/>
      <c r="W151" s="298"/>
      <c r="X151" s="296">
        <f t="shared" si="2"/>
        <v>0</v>
      </c>
      <c r="Y151" s="298"/>
      <c r="Z151" s="296">
        <f t="shared" si="8"/>
        <v>0</v>
      </c>
      <c r="AA151" s="296"/>
      <c r="AB151" s="296"/>
      <c r="AC151" s="296"/>
    </row>
    <row r="152" ht="13.5" hidden="1" customHeight="1">
      <c r="A152" s="277"/>
      <c r="B152" s="277"/>
      <c r="C152" s="288"/>
      <c r="D152" s="289"/>
      <c r="E152" s="289"/>
      <c r="F152" s="290"/>
      <c r="G152" s="291"/>
      <c r="H152" s="292"/>
      <c r="I152" s="292"/>
      <c r="J152" s="285"/>
      <c r="K152" s="293"/>
      <c r="L152" s="294"/>
      <c r="M152" s="295" t="str">
        <f t="shared" si="1"/>
        <v/>
      </c>
      <c r="N152" s="296"/>
      <c r="O152" s="296"/>
      <c r="P152" s="296"/>
      <c r="Q152" s="296"/>
      <c r="R152" s="296"/>
      <c r="S152" s="296">
        <f t="shared" si="7"/>
        <v>0</v>
      </c>
      <c r="T152" s="297"/>
      <c r="U152" s="298"/>
      <c r="V152" s="298"/>
      <c r="W152" s="298"/>
      <c r="X152" s="296">
        <f t="shared" si="2"/>
        <v>0</v>
      </c>
      <c r="Y152" s="298"/>
      <c r="Z152" s="296">
        <f t="shared" si="8"/>
        <v>0</v>
      </c>
      <c r="AA152" s="296"/>
      <c r="AB152" s="296"/>
      <c r="AC152" s="296"/>
    </row>
    <row r="153" ht="13.5" hidden="1" customHeight="1">
      <c r="A153" s="277"/>
      <c r="B153" s="277"/>
      <c r="C153" s="288"/>
      <c r="D153" s="289"/>
      <c r="E153" s="289"/>
      <c r="F153" s="290"/>
      <c r="G153" s="291"/>
      <c r="H153" s="292"/>
      <c r="I153" s="292"/>
      <c r="J153" s="285"/>
      <c r="K153" s="293"/>
      <c r="L153" s="294"/>
      <c r="M153" s="295" t="str">
        <f t="shared" si="1"/>
        <v/>
      </c>
      <c r="N153" s="296"/>
      <c r="O153" s="296"/>
      <c r="P153" s="296"/>
      <c r="Q153" s="296"/>
      <c r="R153" s="296"/>
      <c r="S153" s="296">
        <f t="shared" si="7"/>
        <v>0</v>
      </c>
      <c r="T153" s="297"/>
      <c r="U153" s="298"/>
      <c r="V153" s="298"/>
      <c r="W153" s="298"/>
      <c r="X153" s="296">
        <f t="shared" si="2"/>
        <v>0</v>
      </c>
      <c r="Y153" s="298"/>
      <c r="Z153" s="296">
        <f t="shared" si="8"/>
        <v>0</v>
      </c>
      <c r="AA153" s="296"/>
      <c r="AB153" s="296"/>
      <c r="AC153" s="296"/>
    </row>
    <row r="154" ht="13.5" hidden="1" customHeight="1">
      <c r="A154" s="277"/>
      <c r="B154" s="277"/>
      <c r="C154" s="288"/>
      <c r="D154" s="289"/>
      <c r="E154" s="289"/>
      <c r="F154" s="290"/>
      <c r="G154" s="291"/>
      <c r="H154" s="292"/>
      <c r="I154" s="292"/>
      <c r="J154" s="285"/>
      <c r="K154" s="293"/>
      <c r="L154" s="294"/>
      <c r="M154" s="295" t="str">
        <f t="shared" si="1"/>
        <v/>
      </c>
      <c r="N154" s="296"/>
      <c r="O154" s="296"/>
      <c r="P154" s="296"/>
      <c r="Q154" s="296"/>
      <c r="R154" s="296"/>
      <c r="S154" s="296">
        <f t="shared" si="7"/>
        <v>0</v>
      </c>
      <c r="T154" s="297"/>
      <c r="U154" s="298"/>
      <c r="V154" s="298"/>
      <c r="W154" s="298"/>
      <c r="X154" s="296">
        <f t="shared" si="2"/>
        <v>0</v>
      </c>
      <c r="Y154" s="298"/>
      <c r="Z154" s="296">
        <f t="shared" si="8"/>
        <v>0</v>
      </c>
      <c r="AA154" s="296"/>
      <c r="AB154" s="296"/>
      <c r="AC154" s="296"/>
    </row>
    <row r="155" ht="13.5" hidden="1" customHeight="1">
      <c r="A155" s="277"/>
      <c r="B155" s="277"/>
      <c r="C155" s="288"/>
      <c r="D155" s="289"/>
      <c r="E155" s="289"/>
      <c r="F155" s="290"/>
      <c r="G155" s="291"/>
      <c r="H155" s="292"/>
      <c r="I155" s="292"/>
      <c r="J155" s="285"/>
      <c r="K155" s="293"/>
      <c r="L155" s="294"/>
      <c r="M155" s="295" t="str">
        <f t="shared" si="1"/>
        <v/>
      </c>
      <c r="N155" s="296"/>
      <c r="O155" s="296"/>
      <c r="P155" s="296"/>
      <c r="Q155" s="296"/>
      <c r="R155" s="296"/>
      <c r="S155" s="296">
        <f t="shared" si="7"/>
        <v>0</v>
      </c>
      <c r="T155" s="297"/>
      <c r="U155" s="298"/>
      <c r="V155" s="298"/>
      <c r="W155" s="298"/>
      <c r="X155" s="296">
        <f t="shared" si="2"/>
        <v>0</v>
      </c>
      <c r="Y155" s="298"/>
      <c r="Z155" s="296">
        <f t="shared" si="8"/>
        <v>0</v>
      </c>
      <c r="AA155" s="296"/>
      <c r="AB155" s="296"/>
      <c r="AC155" s="296"/>
    </row>
    <row r="156" ht="13.5" hidden="1" customHeight="1">
      <c r="A156" s="277"/>
      <c r="B156" s="277"/>
      <c r="C156" s="288"/>
      <c r="D156" s="289"/>
      <c r="E156" s="289"/>
      <c r="F156" s="290"/>
      <c r="G156" s="291"/>
      <c r="H156" s="292"/>
      <c r="I156" s="292"/>
      <c r="J156" s="285"/>
      <c r="K156" s="293"/>
      <c r="L156" s="294"/>
      <c r="M156" s="295" t="str">
        <f t="shared" si="1"/>
        <v/>
      </c>
      <c r="N156" s="296"/>
      <c r="O156" s="296"/>
      <c r="P156" s="296"/>
      <c r="Q156" s="296"/>
      <c r="R156" s="296"/>
      <c r="S156" s="296">
        <f t="shared" si="7"/>
        <v>0</v>
      </c>
      <c r="T156" s="297"/>
      <c r="U156" s="298"/>
      <c r="V156" s="298"/>
      <c r="W156" s="298"/>
      <c r="X156" s="296">
        <f t="shared" si="2"/>
        <v>0</v>
      </c>
      <c r="Y156" s="298"/>
      <c r="Z156" s="296">
        <f t="shared" si="8"/>
        <v>0</v>
      </c>
      <c r="AA156" s="296"/>
      <c r="AB156" s="296"/>
      <c r="AC156" s="296"/>
    </row>
    <row r="157" ht="13.5" hidden="1" customHeight="1">
      <c r="A157" s="277"/>
      <c r="B157" s="277"/>
      <c r="C157" s="288"/>
      <c r="D157" s="289"/>
      <c r="E157" s="289"/>
      <c r="F157" s="290"/>
      <c r="G157" s="291"/>
      <c r="H157" s="292"/>
      <c r="I157" s="292"/>
      <c r="J157" s="285"/>
      <c r="K157" s="293"/>
      <c r="L157" s="294"/>
      <c r="M157" s="295" t="str">
        <f t="shared" si="1"/>
        <v/>
      </c>
      <c r="N157" s="296"/>
      <c r="O157" s="296"/>
      <c r="P157" s="296"/>
      <c r="Q157" s="296"/>
      <c r="R157" s="296"/>
      <c r="S157" s="296">
        <f t="shared" si="7"/>
        <v>0</v>
      </c>
      <c r="T157" s="297"/>
      <c r="U157" s="298"/>
      <c r="V157" s="298"/>
      <c r="W157" s="298"/>
      <c r="X157" s="296">
        <f t="shared" si="2"/>
        <v>0</v>
      </c>
      <c r="Y157" s="298"/>
      <c r="Z157" s="296">
        <f t="shared" si="8"/>
        <v>0</v>
      </c>
      <c r="AA157" s="296"/>
      <c r="AB157" s="296"/>
      <c r="AC157" s="296"/>
    </row>
    <row r="158" ht="13.5" hidden="1" customHeight="1">
      <c r="A158" s="277"/>
      <c r="B158" s="277"/>
      <c r="C158" s="288"/>
      <c r="D158" s="289"/>
      <c r="E158" s="289"/>
      <c r="F158" s="290"/>
      <c r="G158" s="291"/>
      <c r="H158" s="292"/>
      <c r="I158" s="292"/>
      <c r="J158" s="285"/>
      <c r="K158" s="293"/>
      <c r="L158" s="294"/>
      <c r="M158" s="295" t="str">
        <f t="shared" si="1"/>
        <v/>
      </c>
      <c r="N158" s="296"/>
      <c r="O158" s="296"/>
      <c r="P158" s="296"/>
      <c r="Q158" s="296"/>
      <c r="R158" s="296"/>
      <c r="S158" s="296">
        <f t="shared" si="7"/>
        <v>0</v>
      </c>
      <c r="T158" s="297"/>
      <c r="U158" s="298"/>
      <c r="V158" s="298"/>
      <c r="W158" s="298"/>
      <c r="X158" s="296">
        <f t="shared" si="2"/>
        <v>0</v>
      </c>
      <c r="Y158" s="298"/>
      <c r="Z158" s="296">
        <f t="shared" si="8"/>
        <v>0</v>
      </c>
      <c r="AA158" s="296"/>
      <c r="AB158" s="296"/>
      <c r="AC158" s="296"/>
    </row>
    <row r="159" ht="13.5" hidden="1" customHeight="1">
      <c r="A159" s="277"/>
      <c r="B159" s="277"/>
      <c r="C159" s="288"/>
      <c r="D159" s="289"/>
      <c r="E159" s="289"/>
      <c r="F159" s="290"/>
      <c r="G159" s="291"/>
      <c r="H159" s="292"/>
      <c r="I159" s="292"/>
      <c r="J159" s="285"/>
      <c r="K159" s="293"/>
      <c r="L159" s="294"/>
      <c r="M159" s="295" t="str">
        <f t="shared" si="1"/>
        <v/>
      </c>
      <c r="N159" s="296"/>
      <c r="O159" s="296"/>
      <c r="P159" s="296"/>
      <c r="Q159" s="296"/>
      <c r="R159" s="296"/>
      <c r="S159" s="296">
        <f t="shared" si="7"/>
        <v>0</v>
      </c>
      <c r="T159" s="297"/>
      <c r="U159" s="298"/>
      <c r="V159" s="298"/>
      <c r="W159" s="298"/>
      <c r="X159" s="296">
        <f t="shared" si="2"/>
        <v>0</v>
      </c>
      <c r="Y159" s="298"/>
      <c r="Z159" s="296">
        <f t="shared" si="8"/>
        <v>0</v>
      </c>
      <c r="AA159" s="296"/>
      <c r="AB159" s="296"/>
      <c r="AC159" s="296"/>
    </row>
    <row r="160" ht="13.5" hidden="1" customHeight="1">
      <c r="A160" s="277"/>
      <c r="B160" s="277"/>
      <c r="C160" s="288"/>
      <c r="D160" s="289"/>
      <c r="E160" s="289"/>
      <c r="F160" s="290"/>
      <c r="G160" s="291"/>
      <c r="H160" s="292"/>
      <c r="I160" s="292"/>
      <c r="J160" s="285"/>
      <c r="K160" s="293"/>
      <c r="L160" s="294"/>
      <c r="M160" s="295" t="str">
        <f t="shared" si="1"/>
        <v/>
      </c>
      <c r="N160" s="296"/>
      <c r="O160" s="296"/>
      <c r="P160" s="296"/>
      <c r="Q160" s="296"/>
      <c r="R160" s="296"/>
      <c r="S160" s="296">
        <f t="shared" si="7"/>
        <v>0</v>
      </c>
      <c r="T160" s="297"/>
      <c r="U160" s="298"/>
      <c r="V160" s="298"/>
      <c r="W160" s="298"/>
      <c r="X160" s="296">
        <f t="shared" si="2"/>
        <v>0</v>
      </c>
      <c r="Y160" s="298"/>
      <c r="Z160" s="296">
        <f t="shared" si="8"/>
        <v>0</v>
      </c>
      <c r="AA160" s="296"/>
      <c r="AB160" s="296"/>
      <c r="AC160" s="296"/>
    </row>
    <row r="161" ht="13.5" hidden="1" customHeight="1">
      <c r="A161" s="277"/>
      <c r="B161" s="277"/>
      <c r="C161" s="288"/>
      <c r="D161" s="289"/>
      <c r="E161" s="289"/>
      <c r="F161" s="290"/>
      <c r="G161" s="291"/>
      <c r="H161" s="292"/>
      <c r="I161" s="292"/>
      <c r="J161" s="285"/>
      <c r="K161" s="293"/>
      <c r="L161" s="294"/>
      <c r="M161" s="295" t="str">
        <f t="shared" si="1"/>
        <v/>
      </c>
      <c r="N161" s="296"/>
      <c r="O161" s="296"/>
      <c r="P161" s="296"/>
      <c r="Q161" s="296"/>
      <c r="R161" s="296"/>
      <c r="S161" s="296">
        <f t="shared" si="7"/>
        <v>0</v>
      </c>
      <c r="T161" s="297"/>
      <c r="U161" s="298"/>
      <c r="V161" s="298"/>
      <c r="W161" s="298"/>
      <c r="X161" s="296">
        <f t="shared" si="2"/>
        <v>0</v>
      </c>
      <c r="Y161" s="298"/>
      <c r="Z161" s="296">
        <f t="shared" si="8"/>
        <v>0</v>
      </c>
      <c r="AA161" s="296"/>
      <c r="AB161" s="296"/>
      <c r="AC161" s="296"/>
    </row>
    <row r="162" ht="13.5" hidden="1" customHeight="1">
      <c r="A162" s="277"/>
      <c r="B162" s="277"/>
      <c r="C162" s="288"/>
      <c r="D162" s="289"/>
      <c r="E162" s="289"/>
      <c r="F162" s="290"/>
      <c r="G162" s="291"/>
      <c r="H162" s="292"/>
      <c r="I162" s="292"/>
      <c r="J162" s="285"/>
      <c r="K162" s="293"/>
      <c r="L162" s="294"/>
      <c r="M162" s="295" t="str">
        <f t="shared" si="1"/>
        <v/>
      </c>
      <c r="N162" s="296"/>
      <c r="O162" s="296"/>
      <c r="P162" s="296"/>
      <c r="Q162" s="296"/>
      <c r="R162" s="296"/>
      <c r="S162" s="296">
        <f t="shared" si="7"/>
        <v>0</v>
      </c>
      <c r="T162" s="297"/>
      <c r="U162" s="298"/>
      <c r="V162" s="298"/>
      <c r="W162" s="298"/>
      <c r="X162" s="296">
        <f t="shared" si="2"/>
        <v>0</v>
      </c>
      <c r="Y162" s="298"/>
      <c r="Z162" s="296">
        <f t="shared" si="8"/>
        <v>0</v>
      </c>
      <c r="AA162" s="296"/>
      <c r="AB162" s="296"/>
      <c r="AC162" s="296"/>
    </row>
    <row r="163" ht="13.5" hidden="1" customHeight="1">
      <c r="A163" s="277"/>
      <c r="B163" s="277"/>
      <c r="C163" s="288"/>
      <c r="D163" s="289"/>
      <c r="E163" s="289"/>
      <c r="F163" s="290"/>
      <c r="G163" s="291"/>
      <c r="H163" s="292"/>
      <c r="I163" s="292"/>
      <c r="J163" s="285"/>
      <c r="K163" s="293"/>
      <c r="L163" s="294"/>
      <c r="M163" s="295" t="str">
        <f t="shared" si="1"/>
        <v/>
      </c>
      <c r="N163" s="296"/>
      <c r="O163" s="296"/>
      <c r="P163" s="296"/>
      <c r="Q163" s="296"/>
      <c r="R163" s="296"/>
      <c r="S163" s="296">
        <f t="shared" si="7"/>
        <v>0</v>
      </c>
      <c r="T163" s="297"/>
      <c r="U163" s="298"/>
      <c r="V163" s="298"/>
      <c r="W163" s="298"/>
      <c r="X163" s="296">
        <f t="shared" si="2"/>
        <v>0</v>
      </c>
      <c r="Y163" s="298"/>
      <c r="Z163" s="296">
        <f t="shared" si="8"/>
        <v>0</v>
      </c>
      <c r="AA163" s="296"/>
      <c r="AB163" s="296"/>
      <c r="AC163" s="296"/>
    </row>
    <row r="164" ht="13.5" hidden="1" customHeight="1">
      <c r="A164" s="277"/>
      <c r="B164" s="277"/>
      <c r="C164" s="288"/>
      <c r="D164" s="289"/>
      <c r="E164" s="289"/>
      <c r="F164" s="290"/>
      <c r="G164" s="291"/>
      <c r="H164" s="292"/>
      <c r="I164" s="292"/>
      <c r="J164" s="285"/>
      <c r="K164" s="293"/>
      <c r="L164" s="294"/>
      <c r="M164" s="295" t="str">
        <f t="shared" si="1"/>
        <v/>
      </c>
      <c r="N164" s="296"/>
      <c r="O164" s="296"/>
      <c r="P164" s="296"/>
      <c r="Q164" s="296"/>
      <c r="R164" s="296"/>
      <c r="S164" s="296">
        <f t="shared" si="7"/>
        <v>0</v>
      </c>
      <c r="T164" s="297"/>
      <c r="U164" s="298"/>
      <c r="V164" s="298"/>
      <c r="W164" s="298"/>
      <c r="X164" s="296">
        <f t="shared" si="2"/>
        <v>0</v>
      </c>
      <c r="Y164" s="298"/>
      <c r="Z164" s="296">
        <f t="shared" si="8"/>
        <v>0</v>
      </c>
      <c r="AA164" s="296"/>
      <c r="AB164" s="296"/>
      <c r="AC164" s="296"/>
    </row>
    <row r="165" ht="13.5" hidden="1" customHeight="1">
      <c r="A165" s="277"/>
      <c r="B165" s="277"/>
      <c r="C165" s="288"/>
      <c r="D165" s="289"/>
      <c r="E165" s="289"/>
      <c r="F165" s="290"/>
      <c r="G165" s="291"/>
      <c r="H165" s="292"/>
      <c r="I165" s="292"/>
      <c r="J165" s="285"/>
      <c r="K165" s="293"/>
      <c r="L165" s="294"/>
      <c r="M165" s="295" t="str">
        <f t="shared" si="1"/>
        <v/>
      </c>
      <c r="N165" s="296"/>
      <c r="O165" s="296"/>
      <c r="P165" s="296"/>
      <c r="Q165" s="296"/>
      <c r="R165" s="296"/>
      <c r="S165" s="296">
        <f t="shared" si="7"/>
        <v>0</v>
      </c>
      <c r="T165" s="297"/>
      <c r="U165" s="298"/>
      <c r="V165" s="298"/>
      <c r="W165" s="298"/>
      <c r="X165" s="296">
        <f t="shared" si="2"/>
        <v>0</v>
      </c>
      <c r="Y165" s="298"/>
      <c r="Z165" s="296">
        <f t="shared" si="8"/>
        <v>0</v>
      </c>
      <c r="AA165" s="296"/>
      <c r="AB165" s="296"/>
      <c r="AC165" s="296"/>
    </row>
    <row r="166" ht="13.5" hidden="1" customHeight="1">
      <c r="A166" s="277"/>
      <c r="B166" s="277"/>
      <c r="C166" s="288"/>
      <c r="D166" s="289"/>
      <c r="E166" s="289"/>
      <c r="F166" s="290"/>
      <c r="G166" s="291"/>
      <c r="H166" s="292"/>
      <c r="I166" s="292"/>
      <c r="J166" s="285"/>
      <c r="K166" s="293"/>
      <c r="L166" s="294"/>
      <c r="M166" s="295" t="str">
        <f t="shared" si="1"/>
        <v/>
      </c>
      <c r="N166" s="296"/>
      <c r="O166" s="296"/>
      <c r="P166" s="296"/>
      <c r="Q166" s="296"/>
      <c r="R166" s="296"/>
      <c r="S166" s="296">
        <f t="shared" si="7"/>
        <v>0</v>
      </c>
      <c r="T166" s="297"/>
      <c r="U166" s="298"/>
      <c r="V166" s="298"/>
      <c r="W166" s="298"/>
      <c r="X166" s="296">
        <f t="shared" si="2"/>
        <v>0</v>
      </c>
      <c r="Y166" s="298"/>
      <c r="Z166" s="296">
        <f t="shared" si="8"/>
        <v>0</v>
      </c>
      <c r="AA166" s="296"/>
      <c r="AB166" s="296"/>
      <c r="AC166" s="296"/>
    </row>
    <row r="167" ht="13.5" hidden="1" customHeight="1">
      <c r="A167" s="277"/>
      <c r="B167" s="277"/>
      <c r="C167" s="288"/>
      <c r="D167" s="289"/>
      <c r="E167" s="289"/>
      <c r="F167" s="290"/>
      <c r="G167" s="291"/>
      <c r="H167" s="292"/>
      <c r="I167" s="292"/>
      <c r="J167" s="285"/>
      <c r="K167" s="293"/>
      <c r="L167" s="294"/>
      <c r="M167" s="295" t="str">
        <f t="shared" si="1"/>
        <v/>
      </c>
      <c r="N167" s="296"/>
      <c r="O167" s="296"/>
      <c r="P167" s="296"/>
      <c r="Q167" s="296"/>
      <c r="R167" s="296"/>
      <c r="S167" s="296">
        <f t="shared" si="7"/>
        <v>0</v>
      </c>
      <c r="T167" s="297"/>
      <c r="U167" s="298"/>
      <c r="V167" s="298"/>
      <c r="W167" s="298"/>
      <c r="X167" s="296">
        <f t="shared" si="2"/>
        <v>0</v>
      </c>
      <c r="Y167" s="298"/>
      <c r="Z167" s="296">
        <f t="shared" si="8"/>
        <v>0</v>
      </c>
      <c r="AA167" s="296"/>
      <c r="AB167" s="296"/>
      <c r="AC167" s="296"/>
    </row>
    <row r="168" ht="13.5" hidden="1" customHeight="1">
      <c r="A168" s="277"/>
      <c r="B168" s="277"/>
      <c r="C168" s="288"/>
      <c r="D168" s="289"/>
      <c r="E168" s="289"/>
      <c r="F168" s="290"/>
      <c r="G168" s="291"/>
      <c r="H168" s="292"/>
      <c r="I168" s="292"/>
      <c r="J168" s="285"/>
      <c r="K168" s="293"/>
      <c r="L168" s="294"/>
      <c r="M168" s="295" t="str">
        <f t="shared" si="1"/>
        <v/>
      </c>
      <c r="N168" s="296"/>
      <c r="O168" s="296"/>
      <c r="P168" s="296"/>
      <c r="Q168" s="296"/>
      <c r="R168" s="296"/>
      <c r="S168" s="296">
        <f t="shared" si="7"/>
        <v>0</v>
      </c>
      <c r="T168" s="297"/>
      <c r="U168" s="298"/>
      <c r="V168" s="298"/>
      <c r="W168" s="298"/>
      <c r="X168" s="296">
        <f t="shared" si="2"/>
        <v>0</v>
      </c>
      <c r="Y168" s="298"/>
      <c r="Z168" s="296">
        <f t="shared" si="8"/>
        <v>0</v>
      </c>
      <c r="AA168" s="296"/>
      <c r="AB168" s="296"/>
      <c r="AC168" s="296"/>
    </row>
    <row r="169" ht="13.5" hidden="1" customHeight="1">
      <c r="A169" s="277"/>
      <c r="B169" s="277"/>
      <c r="C169" s="288"/>
      <c r="D169" s="289"/>
      <c r="E169" s="289"/>
      <c r="F169" s="290"/>
      <c r="G169" s="291"/>
      <c r="H169" s="292"/>
      <c r="I169" s="292"/>
      <c r="J169" s="285"/>
      <c r="K169" s="293"/>
      <c r="L169" s="294"/>
      <c r="M169" s="295" t="str">
        <f t="shared" si="1"/>
        <v/>
      </c>
      <c r="N169" s="296"/>
      <c r="O169" s="296"/>
      <c r="P169" s="296"/>
      <c r="Q169" s="296"/>
      <c r="R169" s="296"/>
      <c r="S169" s="296">
        <f t="shared" si="7"/>
        <v>0</v>
      </c>
      <c r="T169" s="297"/>
      <c r="U169" s="298"/>
      <c r="V169" s="298"/>
      <c r="W169" s="298"/>
      <c r="X169" s="296">
        <f t="shared" si="2"/>
        <v>0</v>
      </c>
      <c r="Y169" s="298"/>
      <c r="Z169" s="296">
        <f t="shared" si="8"/>
        <v>0</v>
      </c>
      <c r="AA169" s="296"/>
      <c r="AB169" s="296"/>
      <c r="AC169" s="296"/>
    </row>
    <row r="170" ht="13.5" hidden="1" customHeight="1">
      <c r="A170" s="277"/>
      <c r="B170" s="277"/>
      <c r="C170" s="288"/>
      <c r="D170" s="289"/>
      <c r="E170" s="289"/>
      <c r="F170" s="290"/>
      <c r="G170" s="291"/>
      <c r="H170" s="292"/>
      <c r="I170" s="292"/>
      <c r="J170" s="285"/>
      <c r="K170" s="293"/>
      <c r="L170" s="294"/>
      <c r="M170" s="295" t="str">
        <f t="shared" si="1"/>
        <v/>
      </c>
      <c r="N170" s="296"/>
      <c r="O170" s="296"/>
      <c r="P170" s="296"/>
      <c r="Q170" s="296"/>
      <c r="R170" s="296"/>
      <c r="S170" s="296">
        <f t="shared" si="7"/>
        <v>0</v>
      </c>
      <c r="T170" s="297"/>
      <c r="U170" s="298"/>
      <c r="V170" s="298"/>
      <c r="W170" s="298"/>
      <c r="X170" s="296">
        <f t="shared" si="2"/>
        <v>0</v>
      </c>
      <c r="Y170" s="298"/>
      <c r="Z170" s="296">
        <f t="shared" si="8"/>
        <v>0</v>
      </c>
      <c r="AA170" s="296"/>
      <c r="AB170" s="296"/>
      <c r="AC170" s="296"/>
    </row>
    <row r="171" ht="13.5" hidden="1" customHeight="1">
      <c r="A171" s="277"/>
      <c r="B171" s="277"/>
      <c r="C171" s="288"/>
      <c r="D171" s="289"/>
      <c r="E171" s="289"/>
      <c r="F171" s="290"/>
      <c r="G171" s="291"/>
      <c r="H171" s="292"/>
      <c r="I171" s="292"/>
      <c r="J171" s="285"/>
      <c r="K171" s="293"/>
      <c r="L171" s="294"/>
      <c r="M171" s="295" t="str">
        <f t="shared" si="1"/>
        <v/>
      </c>
      <c r="N171" s="296"/>
      <c r="O171" s="296"/>
      <c r="P171" s="296"/>
      <c r="Q171" s="296"/>
      <c r="R171" s="296"/>
      <c r="S171" s="296">
        <f t="shared" si="7"/>
        <v>0</v>
      </c>
      <c r="T171" s="297"/>
      <c r="U171" s="298"/>
      <c r="V171" s="298"/>
      <c r="W171" s="298"/>
      <c r="X171" s="296">
        <f t="shared" si="2"/>
        <v>0</v>
      </c>
      <c r="Y171" s="298"/>
      <c r="Z171" s="296">
        <f t="shared" si="8"/>
        <v>0</v>
      </c>
      <c r="AA171" s="296"/>
      <c r="AB171" s="296"/>
      <c r="AC171" s="296"/>
    </row>
    <row r="172" ht="13.5" hidden="1" customHeight="1">
      <c r="A172" s="277"/>
      <c r="B172" s="277"/>
      <c r="C172" s="288"/>
      <c r="D172" s="289"/>
      <c r="E172" s="289"/>
      <c r="F172" s="290"/>
      <c r="G172" s="291"/>
      <c r="H172" s="292"/>
      <c r="I172" s="292"/>
      <c r="J172" s="285"/>
      <c r="K172" s="293"/>
      <c r="L172" s="294"/>
      <c r="M172" s="295" t="str">
        <f t="shared" si="1"/>
        <v/>
      </c>
      <c r="N172" s="296"/>
      <c r="O172" s="296"/>
      <c r="P172" s="296"/>
      <c r="Q172" s="296"/>
      <c r="R172" s="296"/>
      <c r="S172" s="296">
        <f t="shared" si="7"/>
        <v>0</v>
      </c>
      <c r="T172" s="297"/>
      <c r="U172" s="298"/>
      <c r="V172" s="298"/>
      <c r="W172" s="298"/>
      <c r="X172" s="296">
        <f t="shared" si="2"/>
        <v>0</v>
      </c>
      <c r="Y172" s="298"/>
      <c r="Z172" s="296">
        <f t="shared" si="8"/>
        <v>0</v>
      </c>
      <c r="AA172" s="296"/>
      <c r="AB172" s="296"/>
      <c r="AC172" s="296"/>
    </row>
    <row r="173" ht="13.5" hidden="1" customHeight="1">
      <c r="A173" s="277"/>
      <c r="B173" s="277"/>
      <c r="C173" s="288"/>
      <c r="D173" s="289"/>
      <c r="E173" s="289"/>
      <c r="F173" s="290"/>
      <c r="G173" s="291"/>
      <c r="H173" s="292"/>
      <c r="I173" s="292"/>
      <c r="J173" s="285"/>
      <c r="K173" s="293"/>
      <c r="L173" s="294"/>
      <c r="M173" s="295" t="str">
        <f t="shared" si="1"/>
        <v/>
      </c>
      <c r="N173" s="296"/>
      <c r="O173" s="296"/>
      <c r="P173" s="296"/>
      <c r="Q173" s="296"/>
      <c r="R173" s="296"/>
      <c r="S173" s="296">
        <f t="shared" si="7"/>
        <v>0</v>
      </c>
      <c r="T173" s="297"/>
      <c r="U173" s="298"/>
      <c r="V173" s="298"/>
      <c r="W173" s="298"/>
      <c r="X173" s="296">
        <f t="shared" si="2"/>
        <v>0</v>
      </c>
      <c r="Y173" s="298"/>
      <c r="Z173" s="296">
        <f t="shared" si="8"/>
        <v>0</v>
      </c>
      <c r="AA173" s="296"/>
      <c r="AB173" s="296"/>
      <c r="AC173" s="296"/>
    </row>
    <row r="174" ht="13.5" hidden="1" customHeight="1">
      <c r="A174" s="277"/>
      <c r="B174" s="277"/>
      <c r="C174" s="288"/>
      <c r="D174" s="289"/>
      <c r="E174" s="289"/>
      <c r="F174" s="290"/>
      <c r="G174" s="291"/>
      <c r="H174" s="292"/>
      <c r="I174" s="292"/>
      <c r="J174" s="285"/>
      <c r="K174" s="293"/>
      <c r="L174" s="294"/>
      <c r="M174" s="295" t="str">
        <f t="shared" si="1"/>
        <v/>
      </c>
      <c r="N174" s="296"/>
      <c r="O174" s="296"/>
      <c r="P174" s="296"/>
      <c r="Q174" s="296"/>
      <c r="R174" s="296"/>
      <c r="S174" s="296">
        <f t="shared" si="7"/>
        <v>0</v>
      </c>
      <c r="T174" s="297"/>
      <c r="U174" s="298"/>
      <c r="V174" s="298"/>
      <c r="W174" s="298"/>
      <c r="X174" s="296">
        <f t="shared" si="2"/>
        <v>0</v>
      </c>
      <c r="Y174" s="298"/>
      <c r="Z174" s="296">
        <f t="shared" si="8"/>
        <v>0</v>
      </c>
      <c r="AA174" s="296"/>
      <c r="AB174" s="296"/>
      <c r="AC174" s="296"/>
    </row>
    <row r="175" ht="13.5" hidden="1" customHeight="1">
      <c r="A175" s="277"/>
      <c r="B175" s="277"/>
      <c r="C175" s="288"/>
      <c r="D175" s="289"/>
      <c r="E175" s="289"/>
      <c r="F175" s="290"/>
      <c r="G175" s="291"/>
      <c r="H175" s="292"/>
      <c r="I175" s="292"/>
      <c r="J175" s="285"/>
      <c r="K175" s="293"/>
      <c r="L175" s="294"/>
      <c r="M175" s="295" t="str">
        <f t="shared" si="1"/>
        <v/>
      </c>
      <c r="N175" s="296"/>
      <c r="O175" s="296"/>
      <c r="P175" s="296"/>
      <c r="Q175" s="296"/>
      <c r="R175" s="296"/>
      <c r="S175" s="296">
        <f t="shared" si="7"/>
        <v>0</v>
      </c>
      <c r="T175" s="297"/>
      <c r="U175" s="298"/>
      <c r="V175" s="298"/>
      <c r="W175" s="298"/>
      <c r="X175" s="296">
        <f t="shared" si="2"/>
        <v>0</v>
      </c>
      <c r="Y175" s="298"/>
      <c r="Z175" s="296">
        <f t="shared" si="8"/>
        <v>0</v>
      </c>
      <c r="AA175" s="296"/>
      <c r="AB175" s="296"/>
      <c r="AC175" s="296"/>
    </row>
    <row r="176" ht="13.5" hidden="1" customHeight="1">
      <c r="A176" s="299"/>
      <c r="B176" s="299"/>
      <c r="C176" s="300"/>
      <c r="D176" s="301"/>
      <c r="E176" s="301"/>
      <c r="F176" s="302"/>
      <c r="G176" s="303"/>
      <c r="H176" s="304"/>
      <c r="I176" s="304"/>
      <c r="J176" s="305"/>
      <c r="K176" s="306"/>
      <c r="L176" s="307"/>
      <c r="M176" s="308" t="str">
        <f t="shared" si="1"/>
        <v/>
      </c>
      <c r="N176" s="309"/>
      <c r="O176" s="309"/>
      <c r="P176" s="309"/>
      <c r="Q176" s="309"/>
      <c r="R176" s="309"/>
      <c r="S176" s="309">
        <f t="shared" si="7"/>
        <v>0</v>
      </c>
      <c r="T176" s="310"/>
      <c r="U176" s="311"/>
      <c r="V176" s="311"/>
      <c r="W176" s="311"/>
      <c r="X176" s="309">
        <f t="shared" si="2"/>
        <v>0</v>
      </c>
      <c r="Y176" s="311"/>
      <c r="Z176" s="309">
        <f t="shared" si="8"/>
        <v>0</v>
      </c>
      <c r="AA176" s="309"/>
      <c r="AB176" s="309"/>
      <c r="AC176" s="309"/>
    </row>
    <row r="177" ht="13.5" hidden="1" customHeight="1">
      <c r="A177" s="299"/>
      <c r="B177" s="299"/>
      <c r="C177" s="300"/>
      <c r="D177" s="301"/>
      <c r="E177" s="301"/>
      <c r="F177" s="302"/>
      <c r="G177" s="303"/>
      <c r="H177" s="304"/>
      <c r="I177" s="304"/>
      <c r="J177" s="305"/>
      <c r="K177" s="306"/>
      <c r="L177" s="307"/>
      <c r="M177" s="308" t="str">
        <f t="shared" si="1"/>
        <v/>
      </c>
      <c r="N177" s="309"/>
      <c r="O177" s="309"/>
      <c r="P177" s="309"/>
      <c r="Q177" s="309"/>
      <c r="R177" s="309"/>
      <c r="S177" s="309">
        <f t="shared" si="7"/>
        <v>0</v>
      </c>
      <c r="T177" s="310"/>
      <c r="U177" s="311"/>
      <c r="V177" s="311"/>
      <c r="W177" s="311"/>
      <c r="X177" s="309">
        <f t="shared" si="2"/>
        <v>0</v>
      </c>
      <c r="Y177" s="311"/>
      <c r="Z177" s="309">
        <f t="shared" si="8"/>
        <v>0</v>
      </c>
      <c r="AA177" s="309"/>
      <c r="AB177" s="309"/>
      <c r="AC177" s="309"/>
    </row>
    <row r="178" ht="13.5" hidden="1" customHeight="1">
      <c r="A178" s="299"/>
      <c r="B178" s="299"/>
      <c r="C178" s="300"/>
      <c r="D178" s="301"/>
      <c r="E178" s="301"/>
      <c r="F178" s="302"/>
      <c r="G178" s="303"/>
      <c r="H178" s="304"/>
      <c r="I178" s="304"/>
      <c r="J178" s="305"/>
      <c r="K178" s="306"/>
      <c r="L178" s="307"/>
      <c r="M178" s="308" t="str">
        <f t="shared" si="1"/>
        <v/>
      </c>
      <c r="N178" s="309"/>
      <c r="O178" s="309"/>
      <c r="P178" s="309"/>
      <c r="Q178" s="309"/>
      <c r="R178" s="309"/>
      <c r="S178" s="309">
        <f t="shared" si="7"/>
        <v>0</v>
      </c>
      <c r="T178" s="310"/>
      <c r="U178" s="311"/>
      <c r="V178" s="311"/>
      <c r="W178" s="311"/>
      <c r="X178" s="309">
        <f t="shared" si="2"/>
        <v>0</v>
      </c>
      <c r="Y178" s="311"/>
      <c r="Z178" s="309">
        <f t="shared" si="8"/>
        <v>0</v>
      </c>
      <c r="AA178" s="309"/>
      <c r="AB178" s="309"/>
      <c r="AC178" s="309"/>
    </row>
    <row r="179" ht="13.5" hidden="1" customHeight="1">
      <c r="A179" s="299"/>
      <c r="B179" s="299"/>
      <c r="C179" s="300"/>
      <c r="D179" s="301"/>
      <c r="E179" s="301"/>
      <c r="F179" s="302"/>
      <c r="G179" s="303"/>
      <c r="H179" s="304"/>
      <c r="I179" s="304"/>
      <c r="J179" s="305"/>
      <c r="K179" s="306"/>
      <c r="L179" s="307"/>
      <c r="M179" s="308" t="str">
        <f t="shared" si="1"/>
        <v/>
      </c>
      <c r="N179" s="309"/>
      <c r="O179" s="309"/>
      <c r="P179" s="309"/>
      <c r="Q179" s="309"/>
      <c r="R179" s="309"/>
      <c r="S179" s="309">
        <f t="shared" si="7"/>
        <v>0</v>
      </c>
      <c r="T179" s="310"/>
      <c r="U179" s="311"/>
      <c r="V179" s="311"/>
      <c r="W179" s="311"/>
      <c r="X179" s="309">
        <f t="shared" si="2"/>
        <v>0</v>
      </c>
      <c r="Y179" s="311"/>
      <c r="Z179" s="309">
        <f t="shared" si="8"/>
        <v>0</v>
      </c>
      <c r="AA179" s="309"/>
      <c r="AB179" s="309"/>
      <c r="AC179" s="309"/>
    </row>
    <row r="180" ht="13.5" hidden="1" customHeight="1">
      <c r="A180" s="299"/>
      <c r="B180" s="299"/>
      <c r="C180" s="300"/>
      <c r="D180" s="301"/>
      <c r="E180" s="301"/>
      <c r="F180" s="302"/>
      <c r="G180" s="303"/>
      <c r="H180" s="304"/>
      <c r="I180" s="304"/>
      <c r="J180" s="305"/>
      <c r="K180" s="306"/>
      <c r="L180" s="307"/>
      <c r="M180" s="308" t="str">
        <f t="shared" si="1"/>
        <v/>
      </c>
      <c r="N180" s="309"/>
      <c r="O180" s="309"/>
      <c r="P180" s="309"/>
      <c r="Q180" s="309"/>
      <c r="R180" s="309"/>
      <c r="S180" s="309">
        <f t="shared" si="7"/>
        <v>0</v>
      </c>
      <c r="T180" s="310"/>
      <c r="U180" s="311"/>
      <c r="V180" s="311"/>
      <c r="W180" s="311"/>
      <c r="X180" s="309">
        <f t="shared" si="2"/>
        <v>0</v>
      </c>
      <c r="Y180" s="311"/>
      <c r="Z180" s="309">
        <f t="shared" si="8"/>
        <v>0</v>
      </c>
      <c r="AA180" s="309"/>
      <c r="AB180" s="309"/>
      <c r="AC180" s="309"/>
    </row>
    <row r="181" ht="13.5" hidden="1" customHeight="1">
      <c r="A181" s="299"/>
      <c r="B181" s="299"/>
      <c r="C181" s="300"/>
      <c r="D181" s="301"/>
      <c r="E181" s="301"/>
      <c r="F181" s="302"/>
      <c r="G181" s="303"/>
      <c r="H181" s="304"/>
      <c r="I181" s="304"/>
      <c r="J181" s="305"/>
      <c r="K181" s="306"/>
      <c r="L181" s="307"/>
      <c r="M181" s="308" t="str">
        <f t="shared" si="1"/>
        <v/>
      </c>
      <c r="N181" s="309"/>
      <c r="O181" s="309"/>
      <c r="P181" s="309"/>
      <c r="Q181" s="309"/>
      <c r="R181" s="309"/>
      <c r="S181" s="309">
        <f t="shared" si="7"/>
        <v>0</v>
      </c>
      <c r="T181" s="310"/>
      <c r="U181" s="311"/>
      <c r="V181" s="311"/>
      <c r="W181" s="311"/>
      <c r="X181" s="309">
        <f t="shared" si="2"/>
        <v>0</v>
      </c>
      <c r="Y181" s="311"/>
      <c r="Z181" s="309">
        <f t="shared" si="8"/>
        <v>0</v>
      </c>
      <c r="AA181" s="309"/>
      <c r="AB181" s="309"/>
      <c r="AC181" s="309"/>
    </row>
    <row r="182" ht="13.5" hidden="1" customHeight="1">
      <c r="A182" s="299"/>
      <c r="B182" s="299"/>
      <c r="C182" s="300"/>
      <c r="D182" s="301"/>
      <c r="E182" s="301"/>
      <c r="F182" s="302"/>
      <c r="G182" s="303"/>
      <c r="H182" s="304"/>
      <c r="I182" s="304"/>
      <c r="J182" s="305"/>
      <c r="K182" s="306"/>
      <c r="L182" s="307"/>
      <c r="M182" s="308" t="str">
        <f t="shared" si="1"/>
        <v/>
      </c>
      <c r="N182" s="309"/>
      <c r="O182" s="309"/>
      <c r="P182" s="309"/>
      <c r="Q182" s="309"/>
      <c r="R182" s="309"/>
      <c r="S182" s="309">
        <f t="shared" si="7"/>
        <v>0</v>
      </c>
      <c r="T182" s="310"/>
      <c r="U182" s="311"/>
      <c r="V182" s="311"/>
      <c r="W182" s="311"/>
      <c r="X182" s="309">
        <f t="shared" si="2"/>
        <v>0</v>
      </c>
      <c r="Y182" s="311"/>
      <c r="Z182" s="309">
        <f t="shared" si="8"/>
        <v>0</v>
      </c>
      <c r="AA182" s="309"/>
      <c r="AB182" s="309"/>
      <c r="AC182" s="309"/>
    </row>
    <row r="183" ht="13.5" hidden="1" customHeight="1">
      <c r="A183" s="299"/>
      <c r="B183" s="299"/>
      <c r="C183" s="300"/>
      <c r="D183" s="301"/>
      <c r="E183" s="301"/>
      <c r="F183" s="302"/>
      <c r="G183" s="303"/>
      <c r="H183" s="304"/>
      <c r="I183" s="304"/>
      <c r="J183" s="305"/>
      <c r="K183" s="306"/>
      <c r="L183" s="307"/>
      <c r="M183" s="308" t="str">
        <f t="shared" si="1"/>
        <v/>
      </c>
      <c r="N183" s="309"/>
      <c r="O183" s="309"/>
      <c r="P183" s="309"/>
      <c r="Q183" s="309"/>
      <c r="R183" s="309"/>
      <c r="S183" s="309">
        <f t="shared" si="7"/>
        <v>0</v>
      </c>
      <c r="T183" s="310"/>
      <c r="U183" s="311"/>
      <c r="V183" s="311"/>
      <c r="W183" s="311"/>
      <c r="X183" s="309">
        <f t="shared" si="2"/>
        <v>0</v>
      </c>
      <c r="Y183" s="311"/>
      <c r="Z183" s="309">
        <f t="shared" si="8"/>
        <v>0</v>
      </c>
      <c r="AA183" s="309"/>
      <c r="AB183" s="309"/>
      <c r="AC183" s="309"/>
    </row>
    <row r="184" ht="13.5" hidden="1" customHeight="1">
      <c r="A184" s="299"/>
      <c r="B184" s="299"/>
      <c r="C184" s="300"/>
      <c r="D184" s="301"/>
      <c r="E184" s="301"/>
      <c r="F184" s="302"/>
      <c r="G184" s="303"/>
      <c r="H184" s="304"/>
      <c r="I184" s="304"/>
      <c r="J184" s="305"/>
      <c r="K184" s="306"/>
      <c r="L184" s="307"/>
      <c r="M184" s="308" t="str">
        <f t="shared" si="1"/>
        <v/>
      </c>
      <c r="N184" s="309"/>
      <c r="O184" s="309"/>
      <c r="P184" s="309"/>
      <c r="Q184" s="309"/>
      <c r="R184" s="309"/>
      <c r="S184" s="309">
        <f t="shared" si="7"/>
        <v>0</v>
      </c>
      <c r="T184" s="310"/>
      <c r="U184" s="311"/>
      <c r="V184" s="311"/>
      <c r="W184" s="311"/>
      <c r="X184" s="309">
        <f t="shared" si="2"/>
        <v>0</v>
      </c>
      <c r="Y184" s="311"/>
      <c r="Z184" s="309">
        <f t="shared" si="8"/>
        <v>0</v>
      </c>
      <c r="AA184" s="309"/>
      <c r="AB184" s="309"/>
      <c r="AC184" s="309"/>
    </row>
    <row r="185" ht="13.5" hidden="1" customHeight="1">
      <c r="A185" s="299"/>
      <c r="B185" s="299"/>
      <c r="C185" s="300"/>
      <c r="D185" s="301"/>
      <c r="E185" s="301"/>
      <c r="F185" s="302"/>
      <c r="G185" s="303"/>
      <c r="H185" s="304"/>
      <c r="I185" s="304"/>
      <c r="J185" s="305"/>
      <c r="K185" s="306"/>
      <c r="L185" s="307"/>
      <c r="M185" s="308" t="str">
        <f t="shared" si="1"/>
        <v/>
      </c>
      <c r="N185" s="309"/>
      <c r="O185" s="309"/>
      <c r="P185" s="309"/>
      <c r="Q185" s="309"/>
      <c r="R185" s="309"/>
      <c r="S185" s="309">
        <f t="shared" si="7"/>
        <v>0</v>
      </c>
      <c r="T185" s="310"/>
      <c r="U185" s="311"/>
      <c r="V185" s="311"/>
      <c r="W185" s="311"/>
      <c r="X185" s="309">
        <f t="shared" si="2"/>
        <v>0</v>
      </c>
      <c r="Y185" s="311"/>
      <c r="Z185" s="309">
        <f t="shared" si="8"/>
        <v>0</v>
      </c>
      <c r="AA185" s="309"/>
      <c r="AB185" s="309"/>
      <c r="AC185" s="309"/>
    </row>
    <row r="186" ht="13.5" hidden="1" customHeight="1">
      <c r="A186" s="299"/>
      <c r="B186" s="299"/>
      <c r="C186" s="300"/>
      <c r="D186" s="301"/>
      <c r="E186" s="301"/>
      <c r="F186" s="302"/>
      <c r="G186" s="303"/>
      <c r="H186" s="304"/>
      <c r="I186" s="304"/>
      <c r="J186" s="305"/>
      <c r="K186" s="306"/>
      <c r="L186" s="307"/>
      <c r="M186" s="308" t="str">
        <f t="shared" si="1"/>
        <v/>
      </c>
      <c r="N186" s="309"/>
      <c r="O186" s="309"/>
      <c r="P186" s="309"/>
      <c r="Q186" s="309"/>
      <c r="R186" s="309"/>
      <c r="S186" s="309">
        <f t="shared" si="7"/>
        <v>0</v>
      </c>
      <c r="T186" s="310"/>
      <c r="U186" s="311"/>
      <c r="V186" s="311"/>
      <c r="W186" s="311"/>
      <c r="X186" s="309">
        <f t="shared" si="2"/>
        <v>0</v>
      </c>
      <c r="Y186" s="311"/>
      <c r="Z186" s="309">
        <f t="shared" si="8"/>
        <v>0</v>
      </c>
      <c r="AA186" s="309"/>
      <c r="AB186" s="309"/>
      <c r="AC186" s="309"/>
    </row>
    <row r="187" ht="13.5" customHeight="1">
      <c r="A187" s="34"/>
      <c r="B187" s="34"/>
      <c r="C187" s="34"/>
      <c r="D187" s="312"/>
      <c r="E187" s="312"/>
      <c r="F187" s="34"/>
      <c r="G187" s="34"/>
      <c r="J187" s="313"/>
    </row>
    <row r="188" ht="13.5" customHeight="1">
      <c r="A188" s="34"/>
      <c r="B188" s="34"/>
      <c r="C188" s="34"/>
      <c r="D188" s="312"/>
      <c r="E188" s="312"/>
      <c r="F188" s="34"/>
      <c r="G188" s="34"/>
      <c r="J188" s="313"/>
    </row>
    <row r="189" ht="13.5" customHeight="1">
      <c r="A189" s="34"/>
      <c r="B189" s="34"/>
      <c r="C189" s="34"/>
      <c r="D189" s="312"/>
      <c r="E189" s="312"/>
      <c r="F189" s="34"/>
      <c r="G189" s="34"/>
      <c r="J189" s="313"/>
    </row>
    <row r="190" ht="13.5" customHeight="1">
      <c r="A190" s="34"/>
      <c r="B190" s="34"/>
      <c r="C190" s="34"/>
      <c r="D190" s="312"/>
      <c r="E190" s="312"/>
      <c r="F190" s="34"/>
      <c r="G190" s="34"/>
      <c r="J190" s="313"/>
    </row>
    <row r="191" ht="13.5" customHeight="1">
      <c r="A191" s="34"/>
      <c r="B191" s="34"/>
      <c r="C191" s="34"/>
      <c r="D191" s="312"/>
      <c r="E191" s="312"/>
      <c r="F191" s="34"/>
      <c r="G191" s="34"/>
      <c r="J191" s="313"/>
    </row>
    <row r="192" ht="13.5" customHeight="1">
      <c r="A192" s="34"/>
      <c r="B192" s="34"/>
      <c r="C192" s="34"/>
      <c r="D192" s="312"/>
      <c r="E192" s="312"/>
      <c r="F192" s="34"/>
      <c r="G192" s="34"/>
      <c r="J192" s="313"/>
    </row>
    <row r="193" ht="13.5" customHeight="1">
      <c r="A193" s="34"/>
      <c r="B193" s="34"/>
      <c r="C193" s="34"/>
      <c r="D193" s="312"/>
      <c r="E193" s="312"/>
      <c r="F193" s="34"/>
      <c r="G193" s="34"/>
      <c r="J193" s="313"/>
    </row>
    <row r="194" ht="13.5" customHeight="1">
      <c r="A194" s="34"/>
      <c r="B194" s="34"/>
      <c r="C194" s="34"/>
      <c r="D194" s="312"/>
      <c r="E194" s="312"/>
      <c r="F194" s="34"/>
      <c r="G194" s="34"/>
      <c r="J194" s="313"/>
    </row>
    <row r="195" ht="13.5" customHeight="1">
      <c r="A195" s="34"/>
      <c r="B195" s="34"/>
      <c r="C195" s="34"/>
      <c r="D195" s="312"/>
      <c r="E195" s="312"/>
      <c r="F195" s="34"/>
      <c r="G195" s="34"/>
      <c r="J195" s="313"/>
    </row>
    <row r="196" ht="13.5" customHeight="1">
      <c r="A196" s="34"/>
      <c r="B196" s="34"/>
      <c r="C196" s="34"/>
      <c r="D196" s="312"/>
      <c r="E196" s="312"/>
      <c r="F196" s="34"/>
      <c r="G196" s="34"/>
      <c r="J196" s="313"/>
    </row>
    <row r="197" ht="13.5" customHeight="1">
      <c r="A197" s="34"/>
      <c r="B197" s="34"/>
      <c r="C197" s="34"/>
      <c r="D197" s="312"/>
      <c r="E197" s="312"/>
      <c r="F197" s="34"/>
      <c r="G197" s="34"/>
      <c r="J197" s="313"/>
    </row>
    <row r="198" ht="13.5" customHeight="1">
      <c r="A198" s="34"/>
      <c r="B198" s="34"/>
      <c r="C198" s="34"/>
      <c r="D198" s="312"/>
      <c r="E198" s="312"/>
      <c r="F198" s="34"/>
      <c r="G198" s="34"/>
      <c r="J198" s="313"/>
    </row>
    <row r="199" ht="13.5" customHeight="1">
      <c r="A199" s="34"/>
      <c r="B199" s="34"/>
      <c r="C199" s="34"/>
      <c r="D199" s="312"/>
      <c r="E199" s="312"/>
      <c r="F199" s="34"/>
      <c r="G199" s="34"/>
      <c r="J199" s="313"/>
    </row>
    <row r="200" ht="13.5" customHeight="1">
      <c r="A200" s="34"/>
      <c r="B200" s="34"/>
      <c r="C200" s="34"/>
      <c r="D200" s="312"/>
      <c r="E200" s="312"/>
      <c r="F200" s="34"/>
      <c r="G200" s="34"/>
      <c r="J200" s="313"/>
    </row>
    <row r="201" ht="13.5" customHeight="1">
      <c r="A201" s="34"/>
      <c r="B201" s="34"/>
      <c r="C201" s="34"/>
      <c r="D201" s="312"/>
      <c r="E201" s="312"/>
      <c r="F201" s="34"/>
      <c r="G201" s="34"/>
      <c r="J201" s="313"/>
    </row>
    <row r="202" ht="13.5" customHeight="1">
      <c r="A202" s="34"/>
      <c r="B202" s="34"/>
      <c r="C202" s="34"/>
      <c r="D202" s="312"/>
      <c r="E202" s="312"/>
      <c r="F202" s="34"/>
      <c r="G202" s="34"/>
      <c r="J202" s="313"/>
    </row>
    <row r="203" ht="13.5" customHeight="1">
      <c r="A203" s="34"/>
      <c r="B203" s="34"/>
      <c r="C203" s="34"/>
      <c r="D203" s="312"/>
      <c r="E203" s="312"/>
      <c r="F203" s="34"/>
      <c r="G203" s="34"/>
      <c r="J203" s="313"/>
    </row>
    <row r="204" ht="13.5" customHeight="1">
      <c r="A204" s="34"/>
      <c r="B204" s="34"/>
      <c r="C204" s="34"/>
      <c r="D204" s="312"/>
      <c r="E204" s="312"/>
      <c r="F204" s="34"/>
      <c r="G204" s="34"/>
      <c r="J204" s="313"/>
    </row>
    <row r="205" ht="13.5" customHeight="1">
      <c r="A205" s="34"/>
      <c r="B205" s="34"/>
      <c r="C205" s="34"/>
      <c r="D205" s="312"/>
      <c r="E205" s="312"/>
      <c r="F205" s="34"/>
      <c r="G205" s="34"/>
      <c r="J205" s="313"/>
    </row>
    <row r="206" ht="13.5" customHeight="1">
      <c r="A206" s="34"/>
      <c r="B206" s="34"/>
      <c r="C206" s="34"/>
      <c r="D206" s="312"/>
      <c r="E206" s="312"/>
      <c r="F206" s="34"/>
      <c r="G206" s="34"/>
      <c r="J206" s="313"/>
    </row>
    <row r="207" ht="13.5" customHeight="1">
      <c r="A207" s="34"/>
      <c r="B207" s="34"/>
      <c r="C207" s="34"/>
      <c r="D207" s="312"/>
      <c r="E207" s="312"/>
      <c r="F207" s="34"/>
      <c r="G207" s="34"/>
      <c r="J207" s="313"/>
    </row>
    <row r="208" ht="13.5" customHeight="1">
      <c r="A208" s="34"/>
      <c r="B208" s="34"/>
      <c r="C208" s="34"/>
      <c r="D208" s="312"/>
      <c r="E208" s="312"/>
      <c r="F208" s="34"/>
      <c r="G208" s="34"/>
      <c r="J208" s="313"/>
    </row>
    <row r="209" ht="13.5" customHeight="1">
      <c r="A209" s="34"/>
      <c r="B209" s="34"/>
      <c r="C209" s="34"/>
      <c r="D209" s="312"/>
      <c r="E209" s="312"/>
      <c r="F209" s="34"/>
      <c r="G209" s="34"/>
      <c r="J209" s="313"/>
    </row>
    <row r="210" ht="13.5" customHeight="1">
      <c r="A210" s="34"/>
      <c r="B210" s="34"/>
      <c r="C210" s="34"/>
      <c r="D210" s="312"/>
      <c r="E210" s="312"/>
      <c r="F210" s="34"/>
      <c r="G210" s="34"/>
      <c r="J210" s="313"/>
    </row>
    <row r="211" ht="13.5" customHeight="1">
      <c r="A211" s="34"/>
      <c r="B211" s="34"/>
      <c r="C211" s="34"/>
      <c r="D211" s="312"/>
      <c r="E211" s="312"/>
      <c r="F211" s="34"/>
      <c r="G211" s="34"/>
      <c r="J211" s="313"/>
    </row>
    <row r="212" ht="13.5" customHeight="1">
      <c r="A212" s="34"/>
      <c r="B212" s="34"/>
      <c r="C212" s="34"/>
      <c r="D212" s="312"/>
      <c r="E212" s="312"/>
      <c r="F212" s="34"/>
      <c r="G212" s="34"/>
      <c r="J212" s="313"/>
    </row>
    <row r="213" ht="13.5" customHeight="1">
      <c r="A213" s="34"/>
      <c r="B213" s="34"/>
      <c r="C213" s="34"/>
      <c r="D213" s="312"/>
      <c r="E213" s="312"/>
      <c r="F213" s="34"/>
      <c r="G213" s="34"/>
      <c r="J213" s="313"/>
    </row>
    <row r="214" ht="13.5" customHeight="1">
      <c r="A214" s="34"/>
      <c r="B214" s="34"/>
      <c r="C214" s="34"/>
      <c r="D214" s="312"/>
      <c r="E214" s="312"/>
      <c r="F214" s="34"/>
      <c r="G214" s="34"/>
      <c r="J214" s="313"/>
    </row>
    <row r="215" ht="13.5" customHeight="1">
      <c r="A215" s="34"/>
      <c r="B215" s="34"/>
      <c r="C215" s="34"/>
      <c r="D215" s="312"/>
      <c r="E215" s="312"/>
      <c r="F215" s="34"/>
      <c r="G215" s="34"/>
      <c r="J215" s="313"/>
    </row>
    <row r="216" ht="13.5" customHeight="1">
      <c r="A216" s="34"/>
      <c r="B216" s="34"/>
      <c r="C216" s="34"/>
      <c r="D216" s="312"/>
      <c r="E216" s="312"/>
      <c r="F216" s="34"/>
      <c r="G216" s="34"/>
      <c r="J216" s="313"/>
    </row>
    <row r="217" ht="13.5" customHeight="1">
      <c r="A217" s="34"/>
      <c r="B217" s="34"/>
      <c r="C217" s="34"/>
      <c r="D217" s="312"/>
      <c r="E217" s="312"/>
      <c r="F217" s="34"/>
      <c r="G217" s="34"/>
      <c r="J217" s="313"/>
    </row>
    <row r="218" ht="13.5" customHeight="1">
      <c r="A218" s="34"/>
      <c r="B218" s="34"/>
      <c r="C218" s="34"/>
      <c r="D218" s="312"/>
      <c r="E218" s="312"/>
      <c r="F218" s="34"/>
      <c r="G218" s="34"/>
      <c r="J218" s="313"/>
    </row>
    <row r="219" ht="13.5" customHeight="1">
      <c r="A219" s="34"/>
      <c r="B219" s="34"/>
      <c r="C219" s="34"/>
      <c r="D219" s="312"/>
      <c r="E219" s="312"/>
      <c r="F219" s="34"/>
      <c r="G219" s="34"/>
      <c r="J219" s="313"/>
    </row>
    <row r="220" ht="13.5" customHeight="1">
      <c r="A220" s="34"/>
      <c r="B220" s="34"/>
      <c r="C220" s="34"/>
      <c r="D220" s="312"/>
      <c r="E220" s="312"/>
      <c r="F220" s="34"/>
      <c r="G220" s="34"/>
      <c r="J220" s="313"/>
    </row>
    <row r="221" ht="13.5" customHeight="1">
      <c r="A221" s="34"/>
      <c r="B221" s="34"/>
      <c r="C221" s="34"/>
      <c r="D221" s="312"/>
      <c r="E221" s="312"/>
      <c r="F221" s="34"/>
      <c r="G221" s="34"/>
      <c r="J221" s="313"/>
    </row>
    <row r="222" ht="13.5" customHeight="1">
      <c r="A222" s="34"/>
      <c r="B222" s="34"/>
      <c r="C222" s="34"/>
      <c r="D222" s="312"/>
      <c r="E222" s="312"/>
      <c r="F222" s="34"/>
      <c r="G222" s="34"/>
      <c r="J222" s="313"/>
    </row>
    <row r="223" ht="13.5" customHeight="1">
      <c r="A223" s="34"/>
      <c r="B223" s="34"/>
      <c r="C223" s="34"/>
      <c r="D223" s="312"/>
      <c r="E223" s="312"/>
      <c r="F223" s="34"/>
      <c r="G223" s="34"/>
      <c r="J223" s="313"/>
    </row>
    <row r="224" ht="13.5" customHeight="1">
      <c r="A224" s="34"/>
      <c r="B224" s="34"/>
      <c r="C224" s="34"/>
      <c r="D224" s="312"/>
      <c r="E224" s="312"/>
      <c r="F224" s="34"/>
      <c r="G224" s="34"/>
      <c r="J224" s="313"/>
    </row>
    <row r="225" ht="13.5" customHeight="1">
      <c r="A225" s="34"/>
      <c r="B225" s="34"/>
      <c r="C225" s="34"/>
      <c r="D225" s="312"/>
      <c r="E225" s="312"/>
      <c r="F225" s="34"/>
      <c r="G225" s="34"/>
      <c r="J225" s="313"/>
    </row>
    <row r="226" ht="13.5" customHeight="1">
      <c r="A226" s="34"/>
      <c r="B226" s="34"/>
      <c r="C226" s="34"/>
      <c r="D226" s="312"/>
      <c r="E226" s="312"/>
      <c r="F226" s="34"/>
      <c r="G226" s="34"/>
      <c r="J226" s="313"/>
    </row>
    <row r="227" ht="13.5" customHeight="1">
      <c r="A227" s="34"/>
      <c r="B227" s="34"/>
      <c r="C227" s="34"/>
      <c r="D227" s="312"/>
      <c r="E227" s="312"/>
      <c r="F227" s="34"/>
      <c r="G227" s="34"/>
      <c r="J227" s="313"/>
    </row>
    <row r="228" ht="13.5" customHeight="1">
      <c r="A228" s="34"/>
      <c r="B228" s="34"/>
      <c r="C228" s="34"/>
      <c r="D228" s="312"/>
      <c r="E228" s="312"/>
      <c r="F228" s="34"/>
      <c r="G228" s="34"/>
      <c r="J228" s="313"/>
    </row>
    <row r="229" ht="13.5" customHeight="1">
      <c r="A229" s="34"/>
      <c r="B229" s="34"/>
      <c r="C229" s="34"/>
      <c r="D229" s="312"/>
      <c r="E229" s="312"/>
      <c r="F229" s="34"/>
      <c r="G229" s="34"/>
      <c r="J229" s="313"/>
    </row>
    <row r="230" ht="13.5" customHeight="1">
      <c r="A230" s="34"/>
      <c r="B230" s="34"/>
      <c r="C230" s="34"/>
      <c r="D230" s="312"/>
      <c r="E230" s="312"/>
      <c r="F230" s="34"/>
      <c r="G230" s="34"/>
      <c r="J230" s="313"/>
    </row>
    <row r="231" ht="13.5" customHeight="1">
      <c r="A231" s="34"/>
      <c r="B231" s="34"/>
      <c r="C231" s="34"/>
      <c r="D231" s="312"/>
      <c r="E231" s="312"/>
      <c r="F231" s="34"/>
      <c r="G231" s="34"/>
      <c r="J231" s="313"/>
    </row>
    <row r="232" ht="13.5" customHeight="1">
      <c r="A232" s="34"/>
      <c r="B232" s="34"/>
      <c r="C232" s="34"/>
      <c r="D232" s="312"/>
      <c r="E232" s="312"/>
      <c r="F232" s="34"/>
      <c r="G232" s="34"/>
      <c r="J232" s="313"/>
    </row>
    <row r="233" ht="13.5" customHeight="1">
      <c r="A233" s="34"/>
      <c r="B233" s="34"/>
      <c r="C233" s="34"/>
      <c r="D233" s="312"/>
      <c r="E233" s="312"/>
      <c r="F233" s="34"/>
      <c r="G233" s="34"/>
      <c r="J233" s="313"/>
    </row>
    <row r="234" ht="13.5" customHeight="1">
      <c r="A234" s="34"/>
      <c r="B234" s="34"/>
      <c r="C234" s="34"/>
      <c r="D234" s="312"/>
      <c r="E234" s="312"/>
      <c r="F234" s="34"/>
      <c r="G234" s="34"/>
      <c r="J234" s="313"/>
    </row>
    <row r="235" ht="13.5" customHeight="1">
      <c r="A235" s="34"/>
      <c r="B235" s="34"/>
      <c r="C235" s="34"/>
      <c r="D235" s="312"/>
      <c r="E235" s="312"/>
      <c r="F235" s="34"/>
      <c r="G235" s="34"/>
      <c r="J235" s="313"/>
    </row>
    <row r="236" ht="13.5" customHeight="1">
      <c r="A236" s="34"/>
      <c r="B236" s="34"/>
      <c r="C236" s="34"/>
      <c r="D236" s="312"/>
      <c r="E236" s="312"/>
      <c r="F236" s="34"/>
      <c r="G236" s="34"/>
      <c r="J236" s="313"/>
    </row>
    <row r="237" ht="13.5" customHeight="1">
      <c r="A237" s="34"/>
      <c r="B237" s="34"/>
      <c r="C237" s="34"/>
      <c r="D237" s="312"/>
      <c r="E237" s="312"/>
      <c r="F237" s="34"/>
      <c r="G237" s="34"/>
      <c r="J237" s="313"/>
    </row>
    <row r="238" ht="13.5" customHeight="1">
      <c r="A238" s="34"/>
      <c r="B238" s="34"/>
      <c r="C238" s="34"/>
      <c r="D238" s="312"/>
      <c r="E238" s="312"/>
      <c r="F238" s="34"/>
      <c r="G238" s="34"/>
      <c r="J238" s="313"/>
    </row>
    <row r="239" ht="13.5" customHeight="1">
      <c r="A239" s="34"/>
      <c r="B239" s="34"/>
      <c r="C239" s="34"/>
      <c r="D239" s="312"/>
      <c r="E239" s="312"/>
      <c r="F239" s="34"/>
      <c r="G239" s="34"/>
      <c r="J239" s="313"/>
    </row>
    <row r="240" ht="13.5" customHeight="1">
      <c r="A240" s="34"/>
      <c r="B240" s="34"/>
      <c r="C240" s="34"/>
      <c r="D240" s="312"/>
      <c r="E240" s="312"/>
      <c r="F240" s="34"/>
      <c r="G240" s="34"/>
      <c r="J240" s="313"/>
    </row>
    <row r="241" ht="13.5" customHeight="1">
      <c r="A241" s="34"/>
      <c r="B241" s="34"/>
      <c r="C241" s="34"/>
      <c r="D241" s="312"/>
      <c r="E241" s="312"/>
      <c r="F241" s="34"/>
      <c r="G241" s="34"/>
      <c r="J241" s="313"/>
    </row>
    <row r="242" ht="13.5" customHeight="1">
      <c r="A242" s="34"/>
      <c r="B242" s="34"/>
      <c r="C242" s="34"/>
      <c r="D242" s="312"/>
      <c r="E242" s="312"/>
      <c r="F242" s="34"/>
      <c r="G242" s="34"/>
      <c r="J242" s="313"/>
    </row>
    <row r="243" ht="13.5" customHeight="1">
      <c r="A243" s="34"/>
      <c r="B243" s="34"/>
      <c r="C243" s="34"/>
      <c r="D243" s="312"/>
      <c r="E243" s="312"/>
      <c r="F243" s="34"/>
      <c r="G243" s="34"/>
      <c r="J243" s="313"/>
    </row>
    <row r="244" ht="13.5" customHeight="1">
      <c r="A244" s="314"/>
      <c r="B244" s="314"/>
      <c r="C244" s="314"/>
      <c r="D244" s="315"/>
      <c r="E244" s="315"/>
      <c r="F244" s="314"/>
      <c r="G244" s="314"/>
      <c r="J244" s="313"/>
    </row>
    <row r="245" ht="13.5" customHeight="1">
      <c r="A245" s="314"/>
      <c r="B245" s="314"/>
      <c r="C245" s="314"/>
      <c r="D245" s="315"/>
      <c r="E245" s="315"/>
      <c r="F245" s="314"/>
      <c r="G245" s="314"/>
      <c r="J245" s="313"/>
    </row>
    <row r="246" ht="13.5" customHeight="1">
      <c r="A246" s="314"/>
      <c r="B246" s="314"/>
      <c r="C246" s="314"/>
      <c r="D246" s="315"/>
      <c r="E246" s="315"/>
      <c r="F246" s="314"/>
      <c r="G246" s="314"/>
      <c r="J246" s="313"/>
    </row>
    <row r="247" ht="13.5" customHeight="1">
      <c r="A247" s="314"/>
      <c r="B247" s="314"/>
      <c r="C247" s="314"/>
      <c r="D247" s="315"/>
      <c r="E247" s="315"/>
      <c r="F247" s="314"/>
      <c r="G247" s="314"/>
      <c r="J247" s="313"/>
    </row>
    <row r="248" ht="13.5" customHeight="1">
      <c r="A248" s="314"/>
      <c r="B248" s="314"/>
      <c r="C248" s="314"/>
      <c r="D248" s="315"/>
      <c r="E248" s="315"/>
      <c r="F248" s="314"/>
      <c r="G248" s="314"/>
      <c r="J248" s="313"/>
    </row>
    <row r="249" ht="13.5" customHeight="1">
      <c r="A249" s="314"/>
      <c r="B249" s="314"/>
      <c r="C249" s="314"/>
      <c r="D249" s="315"/>
      <c r="E249" s="315"/>
      <c r="F249" s="314"/>
      <c r="G249" s="314"/>
      <c r="J249" s="313"/>
    </row>
    <row r="250" ht="13.5" customHeight="1">
      <c r="A250" s="314"/>
      <c r="B250" s="314"/>
      <c r="C250" s="314"/>
      <c r="D250" s="315"/>
      <c r="E250" s="315"/>
      <c r="F250" s="314"/>
      <c r="G250" s="314"/>
      <c r="J250" s="313"/>
    </row>
    <row r="251" ht="13.5" customHeight="1">
      <c r="A251" s="314"/>
      <c r="B251" s="314"/>
      <c r="C251" s="314"/>
      <c r="D251" s="315"/>
      <c r="E251" s="315"/>
      <c r="F251" s="314"/>
      <c r="G251" s="314"/>
      <c r="J251" s="313"/>
    </row>
    <row r="252" ht="13.5" customHeight="1">
      <c r="A252" s="314"/>
      <c r="B252" s="314"/>
      <c r="C252" s="314"/>
      <c r="D252" s="315"/>
      <c r="E252" s="315"/>
      <c r="F252" s="314"/>
      <c r="G252" s="314"/>
      <c r="J252" s="313"/>
    </row>
    <row r="253" ht="13.5" customHeight="1">
      <c r="A253" s="314"/>
      <c r="B253" s="314"/>
      <c r="C253" s="314"/>
      <c r="D253" s="315"/>
      <c r="E253" s="315"/>
      <c r="F253" s="314"/>
      <c r="G253" s="314"/>
      <c r="J253" s="313"/>
    </row>
    <row r="254" ht="13.5" customHeight="1">
      <c r="A254" s="314"/>
      <c r="B254" s="314"/>
      <c r="C254" s="314"/>
      <c r="D254" s="315"/>
      <c r="E254" s="315"/>
      <c r="F254" s="314"/>
      <c r="G254" s="314"/>
      <c r="J254" s="313"/>
    </row>
    <row r="255" ht="13.5" customHeight="1">
      <c r="A255" s="314"/>
      <c r="B255" s="314"/>
      <c r="C255" s="314"/>
      <c r="D255" s="315"/>
      <c r="E255" s="315"/>
      <c r="F255" s="314"/>
      <c r="G255" s="314"/>
      <c r="J255" s="313"/>
    </row>
    <row r="256" ht="13.5" customHeight="1">
      <c r="A256" s="314"/>
      <c r="B256" s="314"/>
      <c r="C256" s="314"/>
      <c r="D256" s="315"/>
      <c r="E256" s="315"/>
      <c r="F256" s="314"/>
      <c r="G256" s="314"/>
      <c r="J256" s="313"/>
    </row>
    <row r="257" ht="13.5" customHeight="1">
      <c r="A257" s="314"/>
      <c r="B257" s="314"/>
      <c r="C257" s="314"/>
      <c r="D257" s="315"/>
      <c r="E257" s="315"/>
      <c r="F257" s="314"/>
      <c r="G257" s="314"/>
      <c r="J257" s="313"/>
    </row>
    <row r="258" ht="13.5" customHeight="1">
      <c r="A258" s="314"/>
      <c r="B258" s="314"/>
      <c r="C258" s="314"/>
      <c r="D258" s="315"/>
      <c r="E258" s="315"/>
      <c r="F258" s="314"/>
      <c r="G258" s="314"/>
      <c r="J258" s="313"/>
    </row>
    <row r="259" ht="13.5" customHeight="1">
      <c r="A259" s="314"/>
      <c r="B259" s="314"/>
      <c r="C259" s="314"/>
      <c r="D259" s="315"/>
      <c r="E259" s="315"/>
      <c r="F259" s="314"/>
      <c r="G259" s="314"/>
      <c r="J259" s="313"/>
    </row>
    <row r="260" ht="13.5" customHeight="1">
      <c r="A260" s="314"/>
      <c r="B260" s="314"/>
      <c r="C260" s="314"/>
      <c r="D260" s="315"/>
      <c r="E260" s="315"/>
      <c r="F260" s="314"/>
      <c r="G260" s="314"/>
      <c r="J260" s="313"/>
    </row>
    <row r="261" ht="13.5" customHeight="1">
      <c r="A261" s="314"/>
      <c r="B261" s="314"/>
      <c r="C261" s="314"/>
      <c r="D261" s="315"/>
      <c r="E261" s="315"/>
      <c r="F261" s="314"/>
      <c r="G261" s="314"/>
      <c r="J261" s="313"/>
    </row>
    <row r="262" ht="13.5" customHeight="1">
      <c r="A262" s="314"/>
      <c r="B262" s="314"/>
      <c r="C262" s="314"/>
      <c r="D262" s="315"/>
      <c r="E262" s="315"/>
      <c r="F262" s="314"/>
      <c r="G262" s="314"/>
      <c r="J262" s="313"/>
    </row>
    <row r="263" ht="13.5" customHeight="1">
      <c r="A263" s="314"/>
      <c r="B263" s="314"/>
      <c r="C263" s="314"/>
      <c r="D263" s="315"/>
      <c r="E263" s="315"/>
      <c r="F263" s="314"/>
      <c r="G263" s="314"/>
      <c r="J263" s="313"/>
    </row>
    <row r="264" ht="13.5" customHeight="1">
      <c r="A264" s="314"/>
      <c r="B264" s="314"/>
      <c r="C264" s="314"/>
      <c r="D264" s="315"/>
      <c r="E264" s="315"/>
      <c r="F264" s="314"/>
      <c r="G264" s="314"/>
      <c r="J264" s="313"/>
    </row>
    <row r="265" ht="13.5" customHeight="1">
      <c r="A265" s="314"/>
      <c r="B265" s="314"/>
      <c r="C265" s="314"/>
      <c r="D265" s="315"/>
      <c r="E265" s="315"/>
      <c r="F265" s="314"/>
      <c r="G265" s="314"/>
      <c r="J265" s="313"/>
    </row>
    <row r="266" ht="13.5" customHeight="1">
      <c r="A266" s="314"/>
      <c r="B266" s="314"/>
      <c r="C266" s="314"/>
      <c r="D266" s="315"/>
      <c r="E266" s="315"/>
      <c r="F266" s="314"/>
      <c r="G266" s="314"/>
      <c r="J266" s="313"/>
    </row>
    <row r="267" ht="13.5" customHeight="1">
      <c r="A267" s="314"/>
      <c r="B267" s="314"/>
      <c r="C267" s="314"/>
      <c r="D267" s="315"/>
      <c r="E267" s="315"/>
      <c r="F267" s="314"/>
      <c r="G267" s="314"/>
      <c r="J267" s="313"/>
    </row>
    <row r="268" ht="13.5" customHeight="1">
      <c r="A268" s="314"/>
      <c r="B268" s="314"/>
      <c r="C268" s="314"/>
      <c r="D268" s="315"/>
      <c r="E268" s="315"/>
      <c r="F268" s="314"/>
      <c r="G268" s="314"/>
      <c r="J268" s="313"/>
    </row>
    <row r="269" ht="13.5" customHeight="1">
      <c r="A269" s="314"/>
      <c r="B269" s="314"/>
      <c r="C269" s="314"/>
      <c r="D269" s="315"/>
      <c r="E269" s="315"/>
      <c r="F269" s="314"/>
      <c r="G269" s="314"/>
      <c r="J269" s="313"/>
    </row>
    <row r="270" ht="13.5" customHeight="1">
      <c r="A270" s="314"/>
      <c r="B270" s="314"/>
      <c r="C270" s="314"/>
      <c r="D270" s="315"/>
      <c r="E270" s="315"/>
      <c r="F270" s="314"/>
      <c r="G270" s="314"/>
      <c r="J270" s="313"/>
    </row>
    <row r="271" ht="13.5" customHeight="1">
      <c r="A271" s="314"/>
      <c r="B271" s="314"/>
      <c r="C271" s="314"/>
      <c r="D271" s="315"/>
      <c r="E271" s="315"/>
      <c r="F271" s="314"/>
      <c r="G271" s="314"/>
      <c r="J271" s="313"/>
    </row>
    <row r="272" ht="13.5" customHeight="1">
      <c r="A272" s="314"/>
      <c r="B272" s="314"/>
      <c r="C272" s="314"/>
      <c r="D272" s="315"/>
      <c r="E272" s="315"/>
      <c r="F272" s="314"/>
      <c r="G272" s="314"/>
      <c r="J272" s="313"/>
    </row>
    <row r="273" ht="13.5" customHeight="1">
      <c r="A273" s="314"/>
      <c r="B273" s="314"/>
      <c r="C273" s="314"/>
      <c r="D273" s="315"/>
      <c r="E273" s="315"/>
      <c r="F273" s="314"/>
      <c r="G273" s="314"/>
      <c r="J273" s="313"/>
    </row>
    <row r="274" ht="13.5" customHeight="1">
      <c r="A274" s="314"/>
      <c r="B274" s="314"/>
      <c r="C274" s="314"/>
      <c r="D274" s="315"/>
      <c r="E274" s="315"/>
      <c r="F274" s="314"/>
      <c r="G274" s="314"/>
      <c r="J274" s="313"/>
    </row>
    <row r="275" ht="13.5" customHeight="1">
      <c r="A275" s="314"/>
      <c r="B275" s="314"/>
      <c r="C275" s="314"/>
      <c r="D275" s="315"/>
      <c r="E275" s="315"/>
      <c r="F275" s="314"/>
      <c r="G275" s="314"/>
      <c r="J275" s="313"/>
    </row>
    <row r="276" ht="13.5" customHeight="1">
      <c r="A276" s="314"/>
      <c r="B276" s="314"/>
      <c r="C276" s="314"/>
      <c r="D276" s="315"/>
      <c r="E276" s="315"/>
      <c r="F276" s="314"/>
      <c r="G276" s="314"/>
      <c r="J276" s="313"/>
    </row>
    <row r="277" ht="13.5" customHeight="1">
      <c r="A277" s="314"/>
      <c r="B277" s="314"/>
      <c r="C277" s="314"/>
      <c r="D277" s="315"/>
      <c r="E277" s="315"/>
      <c r="F277" s="314"/>
      <c r="G277" s="314"/>
      <c r="J277" s="313"/>
    </row>
    <row r="278" ht="13.5" customHeight="1">
      <c r="A278" s="314"/>
      <c r="B278" s="314"/>
      <c r="C278" s="314"/>
      <c r="D278" s="315"/>
      <c r="E278" s="315"/>
      <c r="F278" s="314"/>
      <c r="G278" s="314"/>
      <c r="J278" s="313"/>
    </row>
    <row r="279" ht="13.5" customHeight="1">
      <c r="A279" s="314"/>
      <c r="B279" s="314"/>
      <c r="C279" s="314"/>
      <c r="D279" s="315"/>
      <c r="E279" s="315"/>
      <c r="F279" s="314"/>
      <c r="G279" s="314"/>
      <c r="J279" s="313"/>
    </row>
    <row r="280" ht="13.5" customHeight="1">
      <c r="A280" s="314"/>
      <c r="B280" s="314"/>
      <c r="C280" s="314"/>
      <c r="D280" s="315"/>
      <c r="E280" s="315"/>
      <c r="F280" s="314"/>
      <c r="G280" s="314"/>
      <c r="J280" s="313"/>
    </row>
    <row r="281" ht="13.5" customHeight="1">
      <c r="A281" s="314"/>
      <c r="B281" s="314"/>
      <c r="C281" s="314"/>
      <c r="D281" s="315"/>
      <c r="E281" s="315"/>
      <c r="F281" s="314"/>
      <c r="G281" s="314"/>
      <c r="J281" s="313"/>
    </row>
    <row r="282" ht="13.5" customHeight="1">
      <c r="A282" s="314"/>
      <c r="B282" s="314"/>
      <c r="C282" s="314"/>
      <c r="D282" s="315"/>
      <c r="E282" s="315"/>
      <c r="F282" s="314"/>
      <c r="G282" s="314"/>
      <c r="J282" s="313"/>
    </row>
    <row r="283" ht="13.5" customHeight="1">
      <c r="A283" s="314"/>
      <c r="B283" s="314"/>
      <c r="C283" s="314"/>
      <c r="D283" s="315"/>
      <c r="E283" s="315"/>
      <c r="F283" s="314"/>
      <c r="G283" s="314"/>
      <c r="J283" s="313"/>
    </row>
    <row r="284" ht="13.5" customHeight="1">
      <c r="A284" s="314"/>
      <c r="B284" s="314"/>
      <c r="C284" s="314"/>
      <c r="D284" s="315"/>
      <c r="E284" s="315"/>
      <c r="F284" s="314"/>
      <c r="G284" s="314"/>
      <c r="J284" s="313"/>
    </row>
    <row r="285" ht="13.5" customHeight="1">
      <c r="A285" s="314"/>
      <c r="B285" s="314"/>
      <c r="C285" s="314"/>
      <c r="D285" s="315"/>
      <c r="E285" s="315"/>
      <c r="F285" s="314"/>
      <c r="G285" s="314"/>
      <c r="J285" s="313"/>
    </row>
    <row r="286" ht="13.5" customHeight="1">
      <c r="A286" s="314"/>
      <c r="B286" s="314"/>
      <c r="C286" s="314"/>
      <c r="D286" s="315"/>
      <c r="E286" s="315"/>
      <c r="F286" s="314"/>
      <c r="G286" s="314"/>
      <c r="J286" s="313"/>
    </row>
    <row r="287" ht="13.5" customHeight="1">
      <c r="A287" s="314"/>
      <c r="B287" s="314"/>
      <c r="C287" s="314"/>
      <c r="D287" s="315"/>
      <c r="E287" s="315"/>
      <c r="F287" s="314"/>
      <c r="G287" s="314"/>
      <c r="J287" s="313"/>
    </row>
    <row r="288" ht="13.5" customHeight="1">
      <c r="A288" s="314"/>
      <c r="B288" s="314"/>
      <c r="C288" s="314"/>
      <c r="D288" s="315"/>
      <c r="E288" s="315"/>
      <c r="F288" s="314"/>
      <c r="G288" s="314"/>
      <c r="J288" s="313"/>
    </row>
    <row r="289" ht="13.5" customHeight="1">
      <c r="A289" s="314"/>
      <c r="B289" s="314"/>
      <c r="C289" s="314"/>
      <c r="D289" s="315"/>
      <c r="E289" s="315"/>
      <c r="F289" s="314"/>
      <c r="G289" s="314"/>
      <c r="J289" s="313"/>
    </row>
    <row r="290" ht="13.5" customHeight="1">
      <c r="A290" s="314"/>
      <c r="B290" s="314"/>
      <c r="C290" s="314"/>
      <c r="D290" s="315"/>
      <c r="E290" s="315"/>
      <c r="F290" s="314"/>
      <c r="G290" s="314"/>
      <c r="J290" s="313"/>
    </row>
    <row r="291" ht="13.5" customHeight="1">
      <c r="A291" s="314"/>
      <c r="B291" s="314"/>
      <c r="C291" s="314"/>
      <c r="D291" s="315"/>
      <c r="E291" s="315"/>
      <c r="F291" s="314"/>
      <c r="G291" s="314"/>
      <c r="J291" s="313"/>
    </row>
    <row r="292" ht="13.5" customHeight="1">
      <c r="A292" s="314"/>
      <c r="B292" s="314"/>
      <c r="C292" s="314"/>
      <c r="D292" s="315"/>
      <c r="E292" s="315"/>
      <c r="F292" s="314"/>
      <c r="G292" s="314"/>
      <c r="J292" s="313"/>
    </row>
    <row r="293" ht="13.5" customHeight="1">
      <c r="A293" s="314"/>
      <c r="B293" s="314"/>
      <c r="C293" s="314"/>
      <c r="D293" s="315"/>
      <c r="E293" s="315"/>
      <c r="F293" s="314"/>
      <c r="G293" s="314"/>
      <c r="J293" s="313"/>
    </row>
    <row r="294" ht="13.5" customHeight="1">
      <c r="A294" s="314"/>
      <c r="B294" s="314"/>
      <c r="C294" s="314"/>
      <c r="D294" s="315"/>
      <c r="E294" s="315"/>
      <c r="F294" s="314"/>
      <c r="G294" s="314"/>
      <c r="J294" s="313"/>
    </row>
    <row r="295" ht="13.5" customHeight="1">
      <c r="A295" s="314"/>
      <c r="B295" s="314"/>
      <c r="C295" s="314"/>
      <c r="D295" s="315"/>
      <c r="E295" s="315"/>
      <c r="F295" s="314"/>
      <c r="G295" s="314"/>
      <c r="J295" s="313"/>
    </row>
    <row r="296" ht="13.5" customHeight="1">
      <c r="A296" s="314"/>
      <c r="B296" s="314"/>
      <c r="C296" s="314"/>
      <c r="D296" s="315"/>
      <c r="E296" s="315"/>
      <c r="F296" s="314"/>
      <c r="G296" s="314"/>
      <c r="J296" s="313"/>
    </row>
    <row r="297" ht="13.5" customHeight="1">
      <c r="A297" s="314"/>
      <c r="B297" s="314"/>
      <c r="C297" s="314"/>
      <c r="D297" s="315"/>
      <c r="E297" s="315"/>
      <c r="F297" s="314"/>
      <c r="G297" s="314"/>
      <c r="J297" s="313"/>
    </row>
    <row r="298" ht="13.5" customHeight="1">
      <c r="A298" s="314"/>
      <c r="B298" s="314"/>
      <c r="C298" s="314"/>
      <c r="D298" s="315"/>
      <c r="E298" s="315"/>
      <c r="F298" s="314"/>
      <c r="G298" s="314"/>
      <c r="J298" s="313"/>
    </row>
    <row r="299" ht="13.5" customHeight="1">
      <c r="A299" s="314"/>
      <c r="B299" s="314"/>
      <c r="C299" s="314"/>
      <c r="D299" s="315"/>
      <c r="E299" s="315"/>
      <c r="F299" s="314"/>
      <c r="G299" s="314"/>
      <c r="J299" s="313"/>
    </row>
    <row r="300" ht="13.5" customHeight="1">
      <c r="A300" s="314"/>
      <c r="B300" s="314"/>
      <c r="C300" s="314"/>
      <c r="D300" s="315"/>
      <c r="E300" s="315"/>
      <c r="F300" s="314"/>
      <c r="G300" s="314"/>
      <c r="J300" s="313"/>
    </row>
    <row r="301" ht="13.5" customHeight="1">
      <c r="A301" s="314"/>
      <c r="B301" s="314"/>
      <c r="C301" s="314"/>
      <c r="D301" s="315"/>
      <c r="E301" s="315"/>
      <c r="F301" s="314"/>
      <c r="G301" s="314"/>
      <c r="J301" s="313"/>
    </row>
    <row r="302" ht="13.5" customHeight="1">
      <c r="A302" s="314"/>
      <c r="B302" s="314"/>
      <c r="C302" s="314"/>
      <c r="D302" s="315"/>
      <c r="E302" s="315"/>
      <c r="F302" s="314"/>
      <c r="G302" s="314"/>
      <c r="J302" s="313"/>
    </row>
    <row r="303" ht="13.5" customHeight="1">
      <c r="A303" s="314"/>
      <c r="B303" s="314"/>
      <c r="C303" s="314"/>
      <c r="D303" s="315"/>
      <c r="E303" s="315"/>
      <c r="F303" s="314"/>
      <c r="G303" s="314"/>
      <c r="J303" s="313"/>
    </row>
    <row r="304" ht="13.5" customHeight="1">
      <c r="A304" s="314"/>
      <c r="B304" s="314"/>
      <c r="C304" s="314"/>
      <c r="D304" s="315"/>
      <c r="E304" s="315"/>
      <c r="F304" s="314"/>
      <c r="G304" s="314"/>
      <c r="J304" s="313"/>
    </row>
    <row r="305" ht="13.5" customHeight="1">
      <c r="A305" s="314"/>
      <c r="B305" s="314"/>
      <c r="C305" s="314"/>
      <c r="D305" s="315"/>
      <c r="E305" s="315"/>
      <c r="F305" s="314"/>
      <c r="G305" s="314"/>
      <c r="J305" s="313"/>
    </row>
    <row r="306" ht="13.5" customHeight="1">
      <c r="A306" s="314"/>
      <c r="B306" s="314"/>
      <c r="C306" s="314"/>
      <c r="D306" s="315"/>
      <c r="E306" s="315"/>
      <c r="F306" s="314"/>
      <c r="G306" s="314"/>
      <c r="J306" s="313"/>
    </row>
    <row r="307" ht="13.5" customHeight="1">
      <c r="A307" s="314"/>
      <c r="B307" s="314"/>
      <c r="C307" s="314"/>
      <c r="D307" s="315"/>
      <c r="E307" s="315"/>
      <c r="F307" s="314"/>
      <c r="G307" s="314"/>
      <c r="J307" s="313"/>
    </row>
    <row r="308" ht="13.5" customHeight="1">
      <c r="A308" s="314"/>
      <c r="B308" s="314"/>
      <c r="C308" s="314"/>
      <c r="D308" s="315"/>
      <c r="E308" s="315"/>
      <c r="F308" s="314"/>
      <c r="G308" s="314"/>
      <c r="J308" s="313"/>
    </row>
    <row r="309" ht="13.5" customHeight="1">
      <c r="A309" s="314"/>
      <c r="B309" s="314"/>
      <c r="C309" s="314"/>
      <c r="D309" s="315"/>
      <c r="E309" s="315"/>
      <c r="F309" s="314"/>
      <c r="G309" s="314"/>
      <c r="J309" s="313"/>
    </row>
    <row r="310" ht="13.5" customHeight="1">
      <c r="A310" s="314"/>
      <c r="B310" s="314"/>
      <c r="C310" s="314"/>
      <c r="D310" s="315"/>
      <c r="E310" s="315"/>
      <c r="F310" s="314"/>
      <c r="G310" s="314"/>
      <c r="J310" s="313"/>
    </row>
    <row r="311" ht="13.5" customHeight="1">
      <c r="A311" s="314"/>
      <c r="B311" s="314"/>
      <c r="C311" s="314"/>
      <c r="D311" s="315"/>
      <c r="E311" s="315"/>
      <c r="F311" s="314"/>
      <c r="G311" s="314"/>
      <c r="J311" s="313"/>
    </row>
    <row r="312" ht="13.5" customHeight="1">
      <c r="A312" s="314"/>
      <c r="B312" s="314"/>
      <c r="C312" s="314"/>
      <c r="D312" s="315"/>
      <c r="E312" s="315"/>
      <c r="F312" s="314"/>
      <c r="G312" s="314"/>
      <c r="J312" s="313"/>
    </row>
    <row r="313" ht="13.5" customHeight="1">
      <c r="A313" s="314"/>
      <c r="B313" s="314"/>
      <c r="C313" s="314"/>
      <c r="D313" s="315"/>
      <c r="E313" s="315"/>
      <c r="F313" s="314"/>
      <c r="G313" s="314"/>
      <c r="J313" s="313"/>
    </row>
    <row r="314" ht="13.5" customHeight="1">
      <c r="A314" s="314"/>
      <c r="B314" s="314"/>
      <c r="C314" s="314"/>
      <c r="D314" s="315"/>
      <c r="E314" s="315"/>
      <c r="F314" s="314"/>
      <c r="G314" s="314"/>
      <c r="J314" s="313"/>
    </row>
    <row r="315" ht="13.5" customHeight="1">
      <c r="A315" s="314"/>
      <c r="B315" s="314"/>
      <c r="C315" s="314"/>
      <c r="D315" s="315"/>
      <c r="E315" s="315"/>
      <c r="F315" s="314"/>
      <c r="G315" s="314"/>
      <c r="J315" s="313"/>
    </row>
    <row r="316" ht="13.5" customHeight="1">
      <c r="A316" s="314"/>
      <c r="B316" s="314"/>
      <c r="C316" s="314"/>
      <c r="D316" s="315"/>
      <c r="E316" s="315"/>
      <c r="F316" s="314"/>
      <c r="G316" s="314"/>
      <c r="J316" s="313"/>
    </row>
    <row r="317" ht="13.5" customHeight="1">
      <c r="A317" s="314"/>
      <c r="B317" s="314"/>
      <c r="C317" s="314"/>
      <c r="D317" s="315"/>
      <c r="E317" s="315"/>
      <c r="F317" s="314"/>
      <c r="G317" s="314"/>
      <c r="J317" s="313"/>
    </row>
    <row r="318" ht="13.5" customHeight="1">
      <c r="A318" s="314"/>
      <c r="B318" s="314"/>
      <c r="C318" s="314"/>
      <c r="D318" s="315"/>
      <c r="E318" s="315"/>
      <c r="F318" s="314"/>
      <c r="G318" s="314"/>
      <c r="J318" s="313"/>
    </row>
    <row r="319" ht="13.5" customHeight="1">
      <c r="A319" s="314"/>
      <c r="B319" s="314"/>
      <c r="C319" s="314"/>
      <c r="D319" s="315"/>
      <c r="E319" s="315"/>
      <c r="F319" s="314"/>
      <c r="G319" s="314"/>
      <c r="J319" s="313"/>
    </row>
    <row r="320" ht="13.5" customHeight="1">
      <c r="A320" s="314"/>
      <c r="B320" s="314"/>
      <c r="C320" s="314"/>
      <c r="D320" s="315"/>
      <c r="E320" s="315"/>
      <c r="F320" s="314"/>
      <c r="G320" s="314"/>
      <c r="J320" s="313"/>
    </row>
    <row r="321" ht="13.5" customHeight="1">
      <c r="A321" s="314"/>
      <c r="B321" s="314"/>
      <c r="C321" s="314"/>
      <c r="D321" s="315"/>
      <c r="E321" s="315"/>
      <c r="F321" s="314"/>
      <c r="G321" s="314"/>
      <c r="J321" s="313"/>
    </row>
    <row r="322" ht="13.5" customHeight="1">
      <c r="A322" s="314"/>
      <c r="B322" s="314"/>
      <c r="C322" s="314"/>
      <c r="D322" s="315"/>
      <c r="E322" s="315"/>
      <c r="F322" s="314"/>
      <c r="G322" s="314"/>
      <c r="J322" s="313"/>
    </row>
    <row r="323" ht="13.5" customHeight="1">
      <c r="A323" s="314"/>
      <c r="B323" s="314"/>
      <c r="C323" s="314"/>
      <c r="D323" s="315"/>
      <c r="E323" s="315"/>
      <c r="F323" s="314"/>
      <c r="G323" s="314"/>
      <c r="J323" s="313"/>
    </row>
    <row r="324" ht="13.5" customHeight="1">
      <c r="A324" s="314"/>
      <c r="B324" s="314"/>
      <c r="C324" s="314"/>
      <c r="D324" s="315"/>
      <c r="E324" s="315"/>
      <c r="F324" s="314"/>
      <c r="G324" s="314"/>
      <c r="J324" s="313"/>
    </row>
    <row r="325" ht="13.5" customHeight="1">
      <c r="A325" s="314"/>
      <c r="B325" s="314"/>
      <c r="C325" s="314"/>
      <c r="D325" s="315"/>
      <c r="E325" s="315"/>
      <c r="F325" s="314"/>
      <c r="G325" s="314"/>
      <c r="J325" s="313"/>
    </row>
    <row r="326" ht="13.5" customHeight="1">
      <c r="A326" s="314"/>
      <c r="B326" s="314"/>
      <c r="C326" s="314"/>
      <c r="D326" s="315"/>
      <c r="E326" s="315"/>
      <c r="F326" s="314"/>
      <c r="G326" s="314"/>
      <c r="J326" s="313"/>
    </row>
    <row r="327" ht="13.5" customHeight="1">
      <c r="A327" s="314"/>
      <c r="B327" s="314"/>
      <c r="C327" s="314"/>
      <c r="D327" s="315"/>
      <c r="E327" s="315"/>
      <c r="F327" s="314"/>
      <c r="G327" s="314"/>
      <c r="J327" s="313"/>
    </row>
    <row r="328" ht="13.5" customHeight="1">
      <c r="A328" s="314"/>
      <c r="B328" s="314"/>
      <c r="C328" s="314"/>
      <c r="D328" s="315"/>
      <c r="E328" s="315"/>
      <c r="F328" s="314"/>
      <c r="G328" s="314"/>
      <c r="J328" s="313"/>
    </row>
    <row r="329" ht="13.5" customHeight="1">
      <c r="A329" s="314"/>
      <c r="B329" s="314"/>
      <c r="C329" s="314"/>
      <c r="D329" s="315"/>
      <c r="E329" s="315"/>
      <c r="F329" s="314"/>
      <c r="G329" s="314"/>
      <c r="J329" s="313"/>
    </row>
    <row r="330" ht="13.5" customHeight="1">
      <c r="A330" s="314"/>
      <c r="B330" s="314"/>
      <c r="C330" s="314"/>
      <c r="D330" s="315"/>
      <c r="E330" s="315"/>
      <c r="F330" s="314"/>
      <c r="G330" s="314"/>
      <c r="J330" s="313"/>
    </row>
    <row r="331" ht="13.5" customHeight="1">
      <c r="A331" s="314"/>
      <c r="B331" s="314"/>
      <c r="C331" s="314"/>
      <c r="D331" s="315"/>
      <c r="E331" s="315"/>
      <c r="F331" s="314"/>
      <c r="G331" s="314"/>
      <c r="J331" s="313"/>
    </row>
    <row r="332" ht="13.5" customHeight="1">
      <c r="A332" s="314"/>
      <c r="B332" s="314"/>
      <c r="C332" s="314"/>
      <c r="D332" s="315"/>
      <c r="E332" s="315"/>
      <c r="F332" s="314"/>
      <c r="G332" s="314"/>
      <c r="J332" s="313"/>
    </row>
    <row r="333" ht="13.5" customHeight="1">
      <c r="A333" s="314"/>
      <c r="B333" s="314"/>
      <c r="C333" s="314"/>
      <c r="D333" s="315"/>
      <c r="E333" s="315"/>
      <c r="F333" s="314"/>
      <c r="G333" s="314"/>
      <c r="J333" s="313"/>
    </row>
    <row r="334" ht="13.5" customHeight="1">
      <c r="A334" s="314"/>
      <c r="B334" s="314"/>
      <c r="C334" s="314"/>
      <c r="D334" s="315"/>
      <c r="E334" s="315"/>
      <c r="F334" s="314"/>
      <c r="G334" s="314"/>
      <c r="J334" s="313"/>
    </row>
    <row r="335" ht="13.5" customHeight="1">
      <c r="A335" s="314"/>
      <c r="B335" s="314"/>
      <c r="C335" s="314"/>
      <c r="D335" s="315"/>
      <c r="E335" s="315"/>
      <c r="F335" s="314"/>
      <c r="G335" s="314"/>
      <c r="J335" s="313"/>
    </row>
    <row r="336" ht="13.5" customHeight="1">
      <c r="A336" s="314"/>
      <c r="B336" s="314"/>
      <c r="C336" s="314"/>
      <c r="D336" s="315"/>
      <c r="E336" s="315"/>
      <c r="F336" s="314"/>
      <c r="G336" s="314"/>
      <c r="J336" s="313"/>
    </row>
    <row r="337" ht="13.5" customHeight="1">
      <c r="A337" s="314"/>
      <c r="B337" s="314"/>
      <c r="C337" s="314"/>
      <c r="D337" s="315"/>
      <c r="E337" s="315"/>
      <c r="F337" s="314"/>
      <c r="G337" s="314"/>
      <c r="J337" s="313"/>
    </row>
    <row r="338" ht="13.5" customHeight="1">
      <c r="A338" s="314"/>
      <c r="B338" s="314"/>
      <c r="C338" s="314"/>
      <c r="D338" s="315"/>
      <c r="E338" s="315"/>
      <c r="F338" s="314"/>
      <c r="G338" s="314"/>
      <c r="J338" s="313"/>
    </row>
    <row r="339" ht="13.5" customHeight="1">
      <c r="A339" s="314"/>
      <c r="B339" s="314"/>
      <c r="C339" s="314"/>
      <c r="D339" s="315"/>
      <c r="E339" s="315"/>
      <c r="F339" s="314"/>
      <c r="G339" s="314"/>
      <c r="J339" s="313"/>
    </row>
    <row r="340" ht="13.5" customHeight="1">
      <c r="A340" s="314"/>
      <c r="B340" s="314"/>
      <c r="C340" s="314"/>
      <c r="D340" s="315"/>
      <c r="E340" s="315"/>
      <c r="F340" s="314"/>
      <c r="G340" s="314"/>
      <c r="J340" s="313"/>
    </row>
    <row r="341" ht="13.5" customHeight="1">
      <c r="A341" s="314"/>
      <c r="B341" s="314"/>
      <c r="C341" s="314"/>
      <c r="D341" s="315"/>
      <c r="E341" s="315"/>
      <c r="F341" s="314"/>
      <c r="G341" s="314"/>
      <c r="J341" s="313"/>
    </row>
    <row r="342" ht="13.5" customHeight="1">
      <c r="A342" s="314"/>
      <c r="B342" s="314"/>
      <c r="C342" s="314"/>
      <c r="D342" s="315"/>
      <c r="E342" s="315"/>
      <c r="F342" s="314"/>
      <c r="G342" s="314"/>
      <c r="J342" s="313"/>
    </row>
    <row r="343" ht="13.5" customHeight="1">
      <c r="A343" s="314"/>
      <c r="B343" s="314"/>
      <c r="C343" s="314"/>
      <c r="D343" s="315"/>
      <c r="E343" s="315"/>
      <c r="F343" s="314"/>
      <c r="G343" s="314"/>
      <c r="J343" s="313"/>
    </row>
    <row r="344" ht="13.5" customHeight="1">
      <c r="A344" s="314"/>
      <c r="B344" s="314"/>
      <c r="C344" s="314"/>
      <c r="D344" s="315"/>
      <c r="E344" s="315"/>
      <c r="F344" s="314"/>
      <c r="G344" s="314"/>
      <c r="J344" s="313"/>
    </row>
    <row r="345" ht="13.5" customHeight="1">
      <c r="A345" s="314"/>
      <c r="B345" s="314"/>
      <c r="C345" s="314"/>
      <c r="D345" s="315"/>
      <c r="E345" s="315"/>
      <c r="F345" s="314"/>
      <c r="G345" s="314"/>
      <c r="J345" s="313"/>
    </row>
    <row r="346" ht="13.5" customHeight="1">
      <c r="A346" s="314"/>
      <c r="B346" s="314"/>
      <c r="C346" s="314"/>
      <c r="D346" s="315"/>
      <c r="E346" s="315"/>
      <c r="F346" s="314"/>
      <c r="G346" s="314"/>
      <c r="J346" s="313"/>
    </row>
    <row r="347" ht="13.5" customHeight="1">
      <c r="A347" s="314"/>
      <c r="B347" s="314"/>
      <c r="C347" s="314"/>
      <c r="D347" s="315"/>
      <c r="E347" s="315"/>
      <c r="F347" s="314"/>
      <c r="G347" s="314"/>
      <c r="J347" s="313"/>
    </row>
    <row r="348" ht="13.5" customHeight="1">
      <c r="A348" s="314"/>
      <c r="B348" s="314"/>
      <c r="C348" s="314"/>
      <c r="D348" s="315"/>
      <c r="E348" s="315"/>
      <c r="F348" s="314"/>
      <c r="G348" s="314"/>
      <c r="J348" s="313"/>
    </row>
    <row r="349" ht="13.5" customHeight="1">
      <c r="A349" s="314"/>
      <c r="B349" s="314"/>
      <c r="C349" s="314"/>
      <c r="D349" s="315"/>
      <c r="E349" s="315"/>
      <c r="F349" s="314"/>
      <c r="G349" s="314"/>
      <c r="J349" s="313"/>
    </row>
    <row r="350" ht="13.5" customHeight="1">
      <c r="A350" s="314"/>
      <c r="B350" s="314"/>
      <c r="C350" s="314"/>
      <c r="D350" s="315"/>
      <c r="E350" s="315"/>
      <c r="F350" s="314"/>
      <c r="G350" s="314"/>
      <c r="J350" s="313"/>
    </row>
    <row r="351" ht="13.5" customHeight="1">
      <c r="A351" s="314"/>
      <c r="B351" s="314"/>
      <c r="C351" s="314"/>
      <c r="D351" s="315"/>
      <c r="E351" s="315"/>
      <c r="F351" s="314"/>
      <c r="G351" s="314"/>
      <c r="J351" s="313"/>
    </row>
    <row r="352" ht="13.5" customHeight="1">
      <c r="A352" s="314"/>
      <c r="B352" s="314"/>
      <c r="C352" s="314"/>
      <c r="D352" s="315"/>
      <c r="E352" s="315"/>
      <c r="F352" s="314"/>
      <c r="G352" s="314"/>
      <c r="J352" s="313"/>
    </row>
    <row r="353" ht="13.5" customHeight="1">
      <c r="A353" s="314"/>
      <c r="B353" s="314"/>
      <c r="C353" s="314"/>
      <c r="D353" s="315"/>
      <c r="E353" s="315"/>
      <c r="F353" s="314"/>
      <c r="G353" s="314"/>
      <c r="J353" s="313"/>
    </row>
    <row r="354" ht="13.5" customHeight="1">
      <c r="A354" s="314"/>
      <c r="B354" s="314"/>
      <c r="C354" s="314"/>
      <c r="D354" s="315"/>
      <c r="E354" s="315"/>
      <c r="F354" s="314"/>
      <c r="G354" s="314"/>
      <c r="J354" s="313"/>
    </row>
    <row r="355" ht="13.5" customHeight="1">
      <c r="A355" s="314"/>
      <c r="B355" s="314"/>
      <c r="C355" s="314"/>
      <c r="D355" s="315"/>
      <c r="E355" s="315"/>
      <c r="F355" s="314"/>
      <c r="G355" s="314"/>
      <c r="J355" s="313"/>
    </row>
    <row r="356" ht="13.5" customHeight="1">
      <c r="A356" s="314"/>
      <c r="B356" s="314"/>
      <c r="C356" s="314"/>
      <c r="D356" s="315"/>
      <c r="E356" s="315"/>
      <c r="F356" s="314"/>
      <c r="G356" s="314"/>
      <c r="J356" s="313"/>
    </row>
    <row r="357" ht="13.5" customHeight="1">
      <c r="A357" s="314"/>
      <c r="B357" s="314"/>
      <c r="C357" s="314"/>
      <c r="D357" s="315"/>
      <c r="E357" s="315"/>
      <c r="F357" s="314"/>
      <c r="G357" s="314"/>
      <c r="J357" s="313"/>
    </row>
    <row r="358" ht="13.5" customHeight="1">
      <c r="A358" s="314"/>
      <c r="B358" s="314"/>
      <c r="C358" s="314"/>
      <c r="D358" s="315"/>
      <c r="E358" s="315"/>
      <c r="F358" s="314"/>
      <c r="G358" s="314"/>
      <c r="J358" s="313"/>
    </row>
    <row r="359" ht="13.5" customHeight="1">
      <c r="A359" s="314"/>
      <c r="B359" s="314"/>
      <c r="C359" s="314"/>
      <c r="D359" s="315"/>
      <c r="E359" s="315"/>
      <c r="F359" s="314"/>
      <c r="G359" s="314"/>
      <c r="J359" s="313"/>
    </row>
    <row r="360" ht="13.5" customHeight="1">
      <c r="A360" s="314"/>
      <c r="B360" s="314"/>
      <c r="C360" s="314"/>
      <c r="D360" s="315"/>
      <c r="E360" s="315"/>
      <c r="F360" s="314"/>
      <c r="G360" s="314"/>
      <c r="J360" s="313"/>
    </row>
    <row r="361" ht="13.5" customHeight="1">
      <c r="A361" s="314"/>
      <c r="B361" s="314"/>
      <c r="C361" s="314"/>
      <c r="D361" s="315"/>
      <c r="E361" s="315"/>
      <c r="F361" s="314"/>
      <c r="G361" s="314"/>
      <c r="J361" s="313"/>
    </row>
    <row r="362" ht="13.5" customHeight="1">
      <c r="A362" s="314"/>
      <c r="B362" s="314"/>
      <c r="C362" s="314"/>
      <c r="D362" s="315"/>
      <c r="E362" s="315"/>
      <c r="F362" s="314"/>
      <c r="G362" s="314"/>
      <c r="J362" s="313"/>
    </row>
    <row r="363" ht="13.5" customHeight="1">
      <c r="A363" s="314"/>
      <c r="B363" s="314"/>
      <c r="C363" s="314"/>
      <c r="D363" s="315"/>
      <c r="E363" s="315"/>
      <c r="F363" s="314"/>
      <c r="G363" s="314"/>
      <c r="J363" s="313"/>
    </row>
    <row r="364" ht="13.5" customHeight="1">
      <c r="A364" s="314"/>
      <c r="B364" s="314"/>
      <c r="C364" s="314"/>
      <c r="D364" s="315"/>
      <c r="E364" s="315"/>
      <c r="F364" s="314"/>
      <c r="G364" s="314"/>
      <c r="J364" s="313"/>
    </row>
    <row r="365" ht="13.5" customHeight="1">
      <c r="A365" s="314"/>
      <c r="B365" s="314"/>
      <c r="C365" s="314"/>
      <c r="D365" s="315"/>
      <c r="E365" s="315"/>
      <c r="F365" s="314"/>
      <c r="G365" s="314"/>
      <c r="J365" s="313"/>
    </row>
    <row r="366" ht="13.5" customHeight="1">
      <c r="A366" s="314"/>
      <c r="B366" s="314"/>
      <c r="C366" s="314"/>
      <c r="D366" s="315"/>
      <c r="E366" s="315"/>
      <c r="F366" s="314"/>
      <c r="G366" s="314"/>
      <c r="J366" s="313"/>
    </row>
    <row r="367" ht="13.5" customHeight="1">
      <c r="A367" s="314"/>
      <c r="B367" s="314"/>
      <c r="C367" s="314"/>
      <c r="D367" s="315"/>
      <c r="E367" s="315"/>
      <c r="F367" s="314"/>
      <c r="G367" s="314"/>
      <c r="J367" s="313"/>
    </row>
    <row r="368" ht="13.5" customHeight="1">
      <c r="A368" s="314"/>
      <c r="B368" s="314"/>
      <c r="C368" s="314"/>
      <c r="D368" s="315"/>
      <c r="E368" s="315"/>
      <c r="F368" s="314"/>
      <c r="G368" s="314"/>
      <c r="J368" s="313"/>
    </row>
    <row r="369" ht="13.5" customHeight="1">
      <c r="A369" s="314"/>
      <c r="B369" s="314"/>
      <c r="C369" s="314"/>
      <c r="D369" s="315"/>
      <c r="E369" s="315"/>
      <c r="F369" s="314"/>
      <c r="G369" s="314"/>
      <c r="J369" s="313"/>
    </row>
    <row r="370" ht="13.5" customHeight="1">
      <c r="A370" s="314"/>
      <c r="B370" s="314"/>
      <c r="C370" s="314"/>
      <c r="D370" s="315"/>
      <c r="E370" s="315"/>
      <c r="F370" s="314"/>
      <c r="G370" s="314"/>
      <c r="J370" s="313"/>
    </row>
    <row r="371" ht="13.5" customHeight="1">
      <c r="A371" s="314"/>
      <c r="B371" s="314"/>
      <c r="C371" s="314"/>
      <c r="D371" s="315"/>
      <c r="E371" s="315"/>
      <c r="F371" s="314"/>
      <c r="G371" s="314"/>
      <c r="J371" s="313"/>
    </row>
    <row r="372" ht="13.5" customHeight="1">
      <c r="A372" s="314"/>
      <c r="B372" s="314"/>
      <c r="C372" s="314"/>
      <c r="D372" s="315"/>
      <c r="E372" s="315"/>
      <c r="F372" s="314"/>
      <c r="G372" s="314"/>
      <c r="J372" s="313"/>
    </row>
    <row r="373" ht="13.5" customHeight="1">
      <c r="A373" s="314"/>
      <c r="B373" s="314"/>
      <c r="C373" s="314"/>
      <c r="D373" s="315"/>
      <c r="E373" s="315"/>
      <c r="F373" s="314"/>
      <c r="G373" s="314"/>
      <c r="J373" s="313"/>
    </row>
    <row r="374" ht="13.5" customHeight="1">
      <c r="A374" s="314"/>
      <c r="B374" s="314"/>
      <c r="C374" s="314"/>
      <c r="D374" s="315"/>
      <c r="E374" s="315"/>
      <c r="F374" s="314"/>
      <c r="G374" s="314"/>
      <c r="J374" s="313"/>
    </row>
    <row r="375" ht="13.5" customHeight="1">
      <c r="A375" s="314"/>
      <c r="B375" s="314"/>
      <c r="C375" s="314"/>
      <c r="D375" s="315"/>
      <c r="E375" s="315"/>
      <c r="F375" s="314"/>
      <c r="G375" s="314"/>
      <c r="J375" s="313"/>
    </row>
    <row r="376" ht="13.5" customHeight="1">
      <c r="A376" s="314"/>
      <c r="B376" s="314"/>
      <c r="C376" s="314"/>
      <c r="D376" s="315"/>
      <c r="E376" s="315"/>
      <c r="F376" s="314"/>
      <c r="G376" s="314"/>
      <c r="J376" s="313"/>
    </row>
    <row r="377" ht="13.5" customHeight="1">
      <c r="A377" s="314"/>
      <c r="B377" s="314"/>
      <c r="C377" s="314"/>
      <c r="D377" s="315"/>
      <c r="E377" s="315"/>
      <c r="F377" s="314"/>
      <c r="G377" s="314"/>
      <c r="J377" s="313"/>
    </row>
    <row r="378" ht="13.5" customHeight="1">
      <c r="A378" s="314"/>
      <c r="B378" s="314"/>
      <c r="C378" s="314"/>
      <c r="D378" s="315"/>
      <c r="E378" s="315"/>
      <c r="F378" s="314"/>
      <c r="G378" s="314"/>
      <c r="J378" s="313"/>
    </row>
    <row r="379" ht="13.5" customHeight="1">
      <c r="A379" s="314"/>
      <c r="B379" s="314"/>
      <c r="C379" s="314"/>
      <c r="D379" s="315"/>
      <c r="E379" s="315"/>
      <c r="F379" s="314"/>
      <c r="G379" s="314"/>
      <c r="J379" s="313"/>
    </row>
    <row r="380" ht="13.5" customHeight="1">
      <c r="A380" s="314"/>
      <c r="B380" s="314"/>
      <c r="C380" s="314"/>
      <c r="D380" s="315"/>
      <c r="E380" s="315"/>
      <c r="F380" s="314"/>
      <c r="G380" s="314"/>
      <c r="J380" s="313"/>
    </row>
    <row r="381" ht="13.5" customHeight="1">
      <c r="A381" s="314"/>
      <c r="B381" s="314"/>
      <c r="C381" s="314"/>
      <c r="D381" s="315"/>
      <c r="E381" s="315"/>
      <c r="F381" s="314"/>
      <c r="G381" s="314"/>
      <c r="J381" s="313"/>
    </row>
    <row r="382" ht="13.5" customHeight="1">
      <c r="A382" s="314"/>
      <c r="B382" s="314"/>
      <c r="C382" s="314"/>
      <c r="D382" s="315"/>
      <c r="E382" s="315"/>
      <c r="F382" s="314"/>
      <c r="G382" s="314"/>
      <c r="J382" s="313"/>
    </row>
    <row r="383" ht="13.5" customHeight="1">
      <c r="A383" s="314"/>
      <c r="B383" s="314"/>
      <c r="C383" s="314"/>
      <c r="D383" s="315"/>
      <c r="E383" s="315"/>
      <c r="F383" s="314"/>
      <c r="G383" s="314"/>
      <c r="J383" s="313"/>
    </row>
    <row r="384" ht="13.5" customHeight="1">
      <c r="A384" s="314"/>
      <c r="B384" s="314"/>
      <c r="C384" s="314"/>
      <c r="D384" s="315"/>
      <c r="E384" s="315"/>
      <c r="F384" s="314"/>
      <c r="G384" s="314"/>
      <c r="J384" s="313"/>
    </row>
    <row r="385" ht="13.5" customHeight="1">
      <c r="A385" s="314"/>
      <c r="B385" s="314"/>
      <c r="C385" s="314"/>
      <c r="D385" s="315"/>
      <c r="E385" s="315"/>
      <c r="F385" s="314"/>
      <c r="G385" s="314"/>
      <c r="J385" s="313"/>
    </row>
    <row r="386" ht="13.5" customHeight="1">
      <c r="A386" s="314"/>
      <c r="B386" s="314"/>
      <c r="C386" s="314"/>
      <c r="D386" s="315"/>
      <c r="E386" s="315"/>
      <c r="F386" s="314"/>
      <c r="G386" s="314"/>
      <c r="J386" s="313"/>
    </row>
    <row r="387" ht="13.5" customHeight="1">
      <c r="A387" s="314"/>
      <c r="B387" s="314"/>
      <c r="C387" s="314"/>
      <c r="D387" s="315"/>
      <c r="E387" s="315"/>
      <c r="F387" s="314"/>
      <c r="G387" s="314"/>
      <c r="J387" s="313"/>
    </row>
    <row r="388" ht="13.5" customHeight="1">
      <c r="A388" s="314"/>
      <c r="B388" s="314"/>
      <c r="C388" s="314"/>
      <c r="D388" s="315"/>
      <c r="E388" s="315"/>
      <c r="F388" s="314"/>
      <c r="G388" s="314"/>
      <c r="J388" s="313"/>
    </row>
    <row r="389" ht="13.5" customHeight="1">
      <c r="A389" s="314"/>
      <c r="B389" s="314"/>
      <c r="C389" s="314"/>
      <c r="D389" s="315"/>
      <c r="E389" s="315"/>
      <c r="F389" s="314"/>
      <c r="G389" s="314"/>
      <c r="J389" s="313"/>
    </row>
    <row r="390" ht="13.5" customHeight="1">
      <c r="A390" s="314"/>
      <c r="B390" s="314"/>
      <c r="C390" s="314"/>
      <c r="D390" s="315"/>
      <c r="E390" s="315"/>
      <c r="F390" s="314"/>
      <c r="G390" s="314"/>
      <c r="J390" s="313"/>
    </row>
    <row r="391" ht="13.5" customHeight="1">
      <c r="A391" s="314"/>
      <c r="B391" s="314"/>
      <c r="C391" s="314"/>
      <c r="D391" s="315"/>
      <c r="E391" s="315"/>
      <c r="F391" s="314"/>
      <c r="G391" s="314"/>
      <c r="J391" s="313"/>
    </row>
    <row r="392" ht="13.5" customHeight="1">
      <c r="A392" s="314"/>
      <c r="B392" s="314"/>
      <c r="C392" s="314"/>
      <c r="D392" s="315"/>
      <c r="E392" s="315"/>
      <c r="F392" s="314"/>
      <c r="G392" s="314"/>
      <c r="J392" s="313"/>
    </row>
    <row r="393" ht="13.5" customHeight="1">
      <c r="A393" s="314"/>
      <c r="B393" s="314"/>
      <c r="C393" s="314"/>
      <c r="D393" s="315"/>
      <c r="E393" s="315"/>
      <c r="F393" s="314"/>
      <c r="G393" s="314"/>
      <c r="J393" s="313"/>
    </row>
    <row r="394" ht="13.5" customHeight="1">
      <c r="A394" s="314"/>
      <c r="B394" s="314"/>
      <c r="C394" s="314"/>
      <c r="D394" s="315"/>
      <c r="E394" s="315"/>
      <c r="F394" s="314"/>
      <c r="G394" s="314"/>
      <c r="J394" s="313"/>
    </row>
    <row r="395" ht="13.5" customHeight="1">
      <c r="A395" s="314"/>
      <c r="B395" s="314"/>
      <c r="C395" s="314"/>
      <c r="D395" s="315"/>
      <c r="E395" s="315"/>
      <c r="F395" s="314"/>
      <c r="G395" s="314"/>
      <c r="J395" s="313"/>
    </row>
    <row r="396" ht="13.5" customHeight="1">
      <c r="A396" s="314"/>
      <c r="B396" s="314"/>
      <c r="C396" s="314"/>
      <c r="D396" s="315"/>
      <c r="E396" s="315"/>
      <c r="F396" s="314"/>
      <c r="G396" s="314"/>
      <c r="J396" s="313"/>
    </row>
    <row r="397" ht="13.5" customHeight="1">
      <c r="A397" s="314"/>
      <c r="B397" s="314"/>
      <c r="C397" s="314"/>
      <c r="D397" s="315"/>
      <c r="E397" s="315"/>
      <c r="F397" s="314"/>
      <c r="G397" s="314"/>
      <c r="J397" s="313"/>
    </row>
    <row r="398" ht="13.5" customHeight="1">
      <c r="A398" s="314"/>
      <c r="B398" s="314"/>
      <c r="C398" s="314"/>
      <c r="D398" s="315"/>
      <c r="E398" s="315"/>
      <c r="F398" s="314"/>
      <c r="G398" s="314"/>
      <c r="J398" s="313"/>
    </row>
    <row r="399" ht="13.5" customHeight="1">
      <c r="A399" s="314"/>
      <c r="B399" s="314"/>
      <c r="C399" s="314"/>
      <c r="D399" s="315"/>
      <c r="E399" s="315"/>
      <c r="F399" s="314"/>
      <c r="G399" s="314"/>
      <c r="J399" s="313"/>
    </row>
    <row r="400" ht="13.5" customHeight="1">
      <c r="A400" s="314"/>
      <c r="B400" s="314"/>
      <c r="C400" s="314"/>
      <c r="D400" s="315"/>
      <c r="E400" s="315"/>
      <c r="F400" s="314"/>
      <c r="G400" s="314"/>
      <c r="J400" s="313"/>
    </row>
    <row r="401" ht="13.5" customHeight="1">
      <c r="A401" s="314"/>
      <c r="B401" s="314"/>
      <c r="C401" s="314"/>
      <c r="D401" s="315"/>
      <c r="E401" s="315"/>
      <c r="F401" s="314"/>
      <c r="G401" s="314"/>
      <c r="J401" s="313"/>
    </row>
    <row r="402" ht="13.5" customHeight="1">
      <c r="A402" s="314"/>
      <c r="B402" s="314"/>
      <c r="C402" s="314"/>
      <c r="D402" s="315"/>
      <c r="E402" s="315"/>
      <c r="F402" s="314"/>
      <c r="G402" s="314"/>
      <c r="J402" s="313"/>
    </row>
    <row r="403" ht="13.5" customHeight="1">
      <c r="A403" s="314"/>
      <c r="B403" s="314"/>
      <c r="C403" s="314"/>
      <c r="D403" s="315"/>
      <c r="E403" s="315"/>
      <c r="F403" s="314"/>
      <c r="G403" s="314"/>
      <c r="J403" s="313"/>
    </row>
    <row r="404" ht="13.5" customHeight="1">
      <c r="A404" s="314"/>
      <c r="B404" s="314"/>
      <c r="C404" s="314"/>
      <c r="D404" s="315"/>
      <c r="E404" s="315"/>
      <c r="F404" s="314"/>
      <c r="G404" s="314"/>
      <c r="J404" s="313"/>
    </row>
    <row r="405" ht="13.5" customHeight="1">
      <c r="A405" s="314"/>
      <c r="B405" s="314"/>
      <c r="C405" s="314"/>
      <c r="D405" s="315"/>
      <c r="E405" s="315"/>
      <c r="F405" s="314"/>
      <c r="G405" s="314"/>
      <c r="J405" s="313"/>
    </row>
    <row r="406" ht="13.5" customHeight="1">
      <c r="A406" s="314"/>
      <c r="B406" s="314"/>
      <c r="C406" s="314"/>
      <c r="D406" s="315"/>
      <c r="E406" s="315"/>
      <c r="F406" s="314"/>
      <c r="G406" s="314"/>
      <c r="J406" s="313"/>
    </row>
    <row r="407" ht="13.5" customHeight="1">
      <c r="A407" s="314"/>
      <c r="B407" s="314"/>
      <c r="C407" s="314"/>
      <c r="D407" s="315"/>
      <c r="E407" s="315"/>
      <c r="F407" s="314"/>
      <c r="G407" s="314"/>
      <c r="J407" s="313"/>
    </row>
    <row r="408" ht="13.5" customHeight="1">
      <c r="A408" s="314"/>
      <c r="B408" s="314"/>
      <c r="C408" s="314"/>
      <c r="D408" s="315"/>
      <c r="E408" s="315"/>
      <c r="F408" s="314"/>
      <c r="G408" s="314"/>
      <c r="J408" s="313"/>
    </row>
    <row r="409" ht="13.5" customHeight="1">
      <c r="A409" s="314"/>
      <c r="B409" s="314"/>
      <c r="C409" s="314"/>
      <c r="D409" s="315"/>
      <c r="E409" s="315"/>
      <c r="F409" s="314"/>
      <c r="G409" s="314"/>
      <c r="J409" s="313"/>
    </row>
    <row r="410" ht="13.5" customHeight="1">
      <c r="A410" s="314"/>
      <c r="B410" s="314"/>
      <c r="C410" s="314"/>
      <c r="D410" s="315"/>
      <c r="E410" s="315"/>
      <c r="F410" s="314"/>
      <c r="G410" s="314"/>
      <c r="J410" s="313"/>
    </row>
    <row r="411" ht="13.5" customHeight="1">
      <c r="A411" s="314"/>
      <c r="B411" s="314"/>
      <c r="C411" s="314"/>
      <c r="D411" s="315"/>
      <c r="E411" s="315"/>
      <c r="F411" s="314"/>
      <c r="G411" s="314"/>
      <c r="J411" s="313"/>
    </row>
    <row r="412" ht="13.5" customHeight="1">
      <c r="A412" s="314"/>
      <c r="B412" s="314"/>
      <c r="C412" s="314"/>
      <c r="D412" s="315"/>
      <c r="E412" s="315"/>
      <c r="F412" s="314"/>
      <c r="G412" s="314"/>
      <c r="J412" s="313"/>
    </row>
    <row r="413" ht="13.5" customHeight="1">
      <c r="A413" s="314"/>
      <c r="B413" s="314"/>
      <c r="C413" s="314"/>
      <c r="D413" s="315"/>
      <c r="E413" s="315"/>
      <c r="F413" s="314"/>
      <c r="G413" s="314"/>
      <c r="J413" s="313"/>
    </row>
    <row r="414" ht="13.5" customHeight="1">
      <c r="A414" s="314"/>
      <c r="B414" s="314"/>
      <c r="C414" s="314"/>
      <c r="D414" s="315"/>
      <c r="E414" s="315"/>
      <c r="F414" s="314"/>
      <c r="G414" s="314"/>
      <c r="J414" s="313"/>
    </row>
    <row r="415" ht="13.5" customHeight="1">
      <c r="A415" s="314"/>
      <c r="B415" s="314"/>
      <c r="C415" s="314"/>
      <c r="D415" s="315"/>
      <c r="E415" s="315"/>
      <c r="F415" s="314"/>
      <c r="G415" s="314"/>
      <c r="J415" s="313"/>
    </row>
    <row r="416" ht="13.5" customHeight="1">
      <c r="A416" s="314"/>
      <c r="B416" s="314"/>
      <c r="C416" s="314"/>
      <c r="D416" s="315"/>
      <c r="E416" s="315"/>
      <c r="F416" s="314"/>
      <c r="G416" s="314"/>
      <c r="J416" s="313"/>
    </row>
    <row r="417" ht="13.5" customHeight="1">
      <c r="A417" s="314"/>
      <c r="B417" s="314"/>
      <c r="C417" s="314"/>
      <c r="D417" s="315"/>
      <c r="E417" s="315"/>
      <c r="F417" s="314"/>
      <c r="G417" s="314"/>
      <c r="J417" s="313"/>
    </row>
    <row r="418" ht="13.5" customHeight="1">
      <c r="A418" s="314"/>
      <c r="B418" s="314"/>
      <c r="C418" s="314"/>
      <c r="D418" s="315"/>
      <c r="E418" s="315"/>
      <c r="F418" s="314"/>
      <c r="G418" s="314"/>
      <c r="J418" s="313"/>
    </row>
    <row r="419" ht="13.5" customHeight="1">
      <c r="A419" s="314"/>
      <c r="B419" s="314"/>
      <c r="C419" s="314"/>
      <c r="D419" s="315"/>
      <c r="E419" s="315"/>
      <c r="F419" s="314"/>
      <c r="G419" s="314"/>
      <c r="J419" s="313"/>
    </row>
    <row r="420" ht="13.5" customHeight="1">
      <c r="A420" s="314"/>
      <c r="B420" s="314"/>
      <c r="C420" s="314"/>
      <c r="D420" s="315"/>
      <c r="E420" s="315"/>
      <c r="F420" s="314"/>
      <c r="G420" s="314"/>
      <c r="J420" s="313"/>
    </row>
    <row r="421" ht="13.5" customHeight="1">
      <c r="A421" s="314"/>
      <c r="B421" s="314"/>
      <c r="C421" s="314"/>
      <c r="D421" s="315"/>
      <c r="E421" s="315"/>
      <c r="F421" s="314"/>
      <c r="G421" s="314"/>
      <c r="J421" s="313"/>
    </row>
    <row r="422" ht="13.5" customHeight="1">
      <c r="A422" s="314"/>
      <c r="B422" s="314"/>
      <c r="C422" s="314"/>
      <c r="D422" s="315"/>
      <c r="E422" s="315"/>
      <c r="F422" s="314"/>
      <c r="G422" s="314"/>
      <c r="J422" s="313"/>
    </row>
    <row r="423" ht="13.5" customHeight="1">
      <c r="A423" s="314"/>
      <c r="B423" s="314"/>
      <c r="C423" s="314"/>
      <c r="D423" s="315"/>
      <c r="E423" s="315"/>
      <c r="F423" s="314"/>
      <c r="G423" s="314"/>
      <c r="J423" s="313"/>
    </row>
    <row r="424" ht="13.5" customHeight="1">
      <c r="A424" s="314"/>
      <c r="B424" s="314"/>
      <c r="C424" s="314"/>
      <c r="D424" s="315"/>
      <c r="E424" s="315"/>
      <c r="F424" s="314"/>
      <c r="G424" s="314"/>
      <c r="J424" s="313"/>
    </row>
    <row r="425" ht="13.5" customHeight="1">
      <c r="A425" s="314"/>
      <c r="B425" s="314"/>
      <c r="C425" s="314"/>
      <c r="D425" s="315"/>
      <c r="E425" s="315"/>
      <c r="F425" s="314"/>
      <c r="G425" s="314"/>
      <c r="J425" s="313"/>
    </row>
    <row r="426" ht="13.5" customHeight="1">
      <c r="A426" s="314"/>
      <c r="B426" s="314"/>
      <c r="C426" s="314"/>
      <c r="D426" s="315"/>
      <c r="E426" s="315"/>
      <c r="F426" s="314"/>
      <c r="G426" s="314"/>
      <c r="J426" s="313"/>
    </row>
    <row r="427" ht="13.5" customHeight="1">
      <c r="A427" s="314"/>
      <c r="B427" s="314"/>
      <c r="C427" s="314"/>
      <c r="D427" s="315"/>
      <c r="E427" s="315"/>
      <c r="F427" s="314"/>
      <c r="G427" s="314"/>
      <c r="J427" s="313"/>
    </row>
    <row r="428" ht="13.5" customHeight="1">
      <c r="A428" s="314"/>
      <c r="B428" s="314"/>
      <c r="C428" s="314"/>
      <c r="D428" s="315"/>
      <c r="E428" s="315"/>
      <c r="F428" s="314"/>
      <c r="G428" s="314"/>
      <c r="J428" s="313"/>
    </row>
    <row r="429" ht="13.5" customHeight="1">
      <c r="A429" s="314"/>
      <c r="B429" s="314"/>
      <c r="C429" s="314"/>
      <c r="D429" s="315"/>
      <c r="E429" s="315"/>
      <c r="F429" s="314"/>
      <c r="G429" s="314"/>
      <c r="J429" s="313"/>
    </row>
    <row r="430" ht="13.5" customHeight="1">
      <c r="A430" s="314"/>
      <c r="B430" s="314"/>
      <c r="C430" s="314"/>
      <c r="D430" s="315"/>
      <c r="E430" s="315"/>
      <c r="F430" s="314"/>
      <c r="G430" s="314"/>
      <c r="J430" s="313"/>
    </row>
    <row r="431" ht="13.5" customHeight="1">
      <c r="A431" s="314"/>
      <c r="B431" s="314"/>
      <c r="C431" s="314"/>
      <c r="D431" s="315"/>
      <c r="E431" s="315"/>
      <c r="F431" s="314"/>
      <c r="G431" s="314"/>
      <c r="J431" s="313"/>
    </row>
    <row r="432" ht="13.5" customHeight="1">
      <c r="A432" s="314"/>
      <c r="B432" s="314"/>
      <c r="C432" s="314"/>
      <c r="D432" s="315"/>
      <c r="E432" s="315"/>
      <c r="F432" s="314"/>
      <c r="G432" s="314"/>
      <c r="J432" s="313"/>
    </row>
    <row r="433" ht="13.5" customHeight="1">
      <c r="A433" s="314"/>
      <c r="B433" s="314"/>
      <c r="C433" s="314"/>
      <c r="D433" s="315"/>
      <c r="E433" s="315"/>
      <c r="F433" s="314"/>
      <c r="G433" s="314"/>
      <c r="J433" s="313"/>
    </row>
    <row r="434" ht="13.5" customHeight="1">
      <c r="A434" s="314"/>
      <c r="B434" s="314"/>
      <c r="C434" s="314"/>
      <c r="D434" s="315"/>
      <c r="E434" s="315"/>
      <c r="F434" s="314"/>
      <c r="G434" s="314"/>
      <c r="J434" s="313"/>
    </row>
    <row r="435" ht="13.5" customHeight="1">
      <c r="A435" s="314"/>
      <c r="B435" s="314"/>
      <c r="C435" s="314"/>
      <c r="D435" s="315"/>
      <c r="E435" s="315"/>
      <c r="F435" s="314"/>
      <c r="G435" s="314"/>
      <c r="J435" s="313"/>
    </row>
    <row r="436" ht="13.5" customHeight="1">
      <c r="A436" s="314"/>
      <c r="B436" s="314"/>
      <c r="C436" s="314"/>
      <c r="D436" s="315"/>
      <c r="E436" s="315"/>
      <c r="F436" s="314"/>
      <c r="G436" s="314"/>
      <c r="J436" s="313"/>
    </row>
    <row r="437" ht="13.5" customHeight="1">
      <c r="A437" s="314"/>
      <c r="B437" s="314"/>
      <c r="C437" s="314"/>
      <c r="D437" s="315"/>
      <c r="E437" s="315"/>
      <c r="F437" s="314"/>
      <c r="G437" s="314"/>
      <c r="J437" s="313"/>
    </row>
    <row r="438" ht="13.5" customHeight="1">
      <c r="A438" s="314"/>
      <c r="B438" s="314"/>
      <c r="C438" s="314"/>
      <c r="D438" s="315"/>
      <c r="E438" s="315"/>
      <c r="F438" s="314"/>
      <c r="G438" s="314"/>
      <c r="J438" s="313"/>
    </row>
    <row r="439" ht="13.5" customHeight="1">
      <c r="A439" s="314"/>
      <c r="B439" s="314"/>
      <c r="C439" s="314"/>
      <c r="D439" s="315"/>
      <c r="E439" s="315"/>
      <c r="F439" s="314"/>
      <c r="G439" s="314"/>
      <c r="J439" s="313"/>
    </row>
    <row r="440" ht="13.5" customHeight="1">
      <c r="A440" s="314"/>
      <c r="B440" s="314"/>
      <c r="C440" s="314"/>
      <c r="D440" s="315"/>
      <c r="E440" s="315"/>
      <c r="F440" s="314"/>
      <c r="G440" s="314"/>
      <c r="J440" s="313"/>
    </row>
    <row r="441" ht="13.5" customHeight="1">
      <c r="A441" s="314"/>
      <c r="B441" s="314"/>
      <c r="C441" s="314"/>
      <c r="D441" s="315"/>
      <c r="E441" s="315"/>
      <c r="F441" s="314"/>
      <c r="G441" s="314"/>
      <c r="J441" s="313"/>
    </row>
    <row r="442" ht="13.5" customHeight="1">
      <c r="A442" s="314"/>
      <c r="B442" s="314"/>
      <c r="C442" s="314"/>
      <c r="D442" s="315"/>
      <c r="E442" s="315"/>
      <c r="F442" s="314"/>
      <c r="G442" s="314"/>
      <c r="J442" s="313"/>
    </row>
    <row r="443" ht="13.5" customHeight="1">
      <c r="A443" s="314"/>
      <c r="B443" s="314"/>
      <c r="C443" s="314"/>
      <c r="D443" s="315"/>
      <c r="E443" s="315"/>
      <c r="F443" s="314"/>
      <c r="G443" s="314"/>
      <c r="J443" s="313"/>
    </row>
    <row r="444" ht="13.5" customHeight="1">
      <c r="A444" s="314"/>
      <c r="B444" s="314"/>
      <c r="C444" s="314"/>
      <c r="D444" s="315"/>
      <c r="E444" s="315"/>
      <c r="F444" s="314"/>
      <c r="G444" s="314"/>
      <c r="J444" s="313"/>
    </row>
    <row r="445" ht="13.5" customHeight="1">
      <c r="A445" s="314"/>
      <c r="B445" s="314"/>
      <c r="C445" s="314"/>
      <c r="D445" s="315"/>
      <c r="E445" s="315"/>
      <c r="F445" s="314"/>
      <c r="G445" s="314"/>
      <c r="J445" s="313"/>
    </row>
    <row r="446" ht="13.5" customHeight="1">
      <c r="A446" s="314"/>
      <c r="B446" s="314"/>
      <c r="C446" s="314"/>
      <c r="D446" s="315"/>
      <c r="E446" s="315"/>
      <c r="F446" s="314"/>
      <c r="G446" s="314"/>
      <c r="J446" s="313"/>
    </row>
    <row r="447" ht="13.5" customHeight="1">
      <c r="A447" s="314"/>
      <c r="B447" s="314"/>
      <c r="C447" s="314"/>
      <c r="D447" s="315"/>
      <c r="E447" s="315"/>
      <c r="F447" s="314"/>
      <c r="G447" s="314"/>
      <c r="J447" s="313"/>
    </row>
    <row r="448" ht="13.5" customHeight="1">
      <c r="A448" s="314"/>
      <c r="B448" s="314"/>
      <c r="C448" s="314"/>
      <c r="D448" s="315"/>
      <c r="E448" s="315"/>
      <c r="F448" s="314"/>
      <c r="G448" s="314"/>
      <c r="J448" s="313"/>
    </row>
    <row r="449" ht="13.5" customHeight="1">
      <c r="A449" s="314"/>
      <c r="B449" s="314"/>
      <c r="C449" s="314"/>
      <c r="D449" s="315"/>
      <c r="E449" s="315"/>
      <c r="F449" s="314"/>
      <c r="G449" s="314"/>
      <c r="J449" s="313"/>
    </row>
    <row r="450" ht="13.5" customHeight="1">
      <c r="A450" s="314"/>
      <c r="B450" s="314"/>
      <c r="C450" s="314"/>
      <c r="D450" s="315"/>
      <c r="E450" s="315"/>
      <c r="F450" s="314"/>
      <c r="G450" s="314"/>
      <c r="J450" s="313"/>
    </row>
    <row r="451" ht="13.5" customHeight="1">
      <c r="A451" s="314"/>
      <c r="B451" s="314"/>
      <c r="C451" s="314"/>
      <c r="D451" s="315"/>
      <c r="E451" s="315"/>
      <c r="F451" s="314"/>
      <c r="G451" s="314"/>
      <c r="J451" s="313"/>
    </row>
    <row r="452" ht="13.5" customHeight="1">
      <c r="A452" s="314"/>
      <c r="B452" s="314"/>
      <c r="C452" s="314"/>
      <c r="D452" s="315"/>
      <c r="E452" s="315"/>
      <c r="F452" s="314"/>
      <c r="G452" s="314"/>
      <c r="J452" s="313"/>
    </row>
    <row r="453" ht="13.5" customHeight="1">
      <c r="A453" s="314"/>
      <c r="B453" s="314"/>
      <c r="C453" s="314"/>
      <c r="D453" s="315"/>
      <c r="E453" s="315"/>
      <c r="F453" s="314"/>
      <c r="G453" s="314"/>
      <c r="J453" s="313"/>
    </row>
    <row r="454" ht="13.5" customHeight="1">
      <c r="A454" s="314"/>
      <c r="B454" s="314"/>
      <c r="C454" s="314"/>
      <c r="D454" s="315"/>
      <c r="E454" s="315"/>
      <c r="F454" s="314"/>
      <c r="G454" s="314"/>
      <c r="J454" s="313"/>
    </row>
    <row r="455" ht="13.5" customHeight="1">
      <c r="A455" s="314"/>
      <c r="B455" s="314"/>
      <c r="C455" s="314"/>
      <c r="D455" s="315"/>
      <c r="E455" s="315"/>
      <c r="F455" s="314"/>
      <c r="G455" s="314"/>
      <c r="J455" s="313"/>
    </row>
    <row r="456" ht="13.5" customHeight="1">
      <c r="A456" s="314"/>
      <c r="B456" s="314"/>
      <c r="C456" s="314"/>
      <c r="D456" s="315"/>
      <c r="E456" s="315"/>
      <c r="F456" s="314"/>
      <c r="G456" s="314"/>
      <c r="J456" s="313"/>
    </row>
    <row r="457" ht="13.5" customHeight="1">
      <c r="A457" s="314"/>
      <c r="B457" s="314"/>
      <c r="C457" s="314"/>
      <c r="D457" s="315"/>
      <c r="E457" s="315"/>
      <c r="F457" s="314"/>
      <c r="G457" s="314"/>
      <c r="J457" s="313"/>
    </row>
    <row r="458" ht="13.5" customHeight="1">
      <c r="A458" s="314"/>
      <c r="B458" s="314"/>
      <c r="C458" s="314"/>
      <c r="D458" s="315"/>
      <c r="E458" s="315"/>
      <c r="F458" s="314"/>
      <c r="G458" s="314"/>
      <c r="J458" s="313"/>
    </row>
    <row r="459" ht="13.5" customHeight="1">
      <c r="A459" s="314"/>
      <c r="B459" s="314"/>
      <c r="C459" s="314"/>
      <c r="D459" s="315"/>
      <c r="E459" s="315"/>
      <c r="F459" s="314"/>
      <c r="G459" s="314"/>
      <c r="J459" s="313"/>
    </row>
    <row r="460" ht="13.5" customHeight="1">
      <c r="A460" s="314"/>
      <c r="B460" s="314"/>
      <c r="C460" s="314"/>
      <c r="D460" s="315"/>
      <c r="E460" s="315"/>
      <c r="F460" s="314"/>
      <c r="G460" s="314"/>
      <c r="J460" s="313"/>
    </row>
    <row r="461" ht="13.5" customHeight="1">
      <c r="A461" s="314"/>
      <c r="B461" s="314"/>
      <c r="C461" s="314"/>
      <c r="D461" s="315"/>
      <c r="E461" s="315"/>
      <c r="F461" s="314"/>
      <c r="G461" s="314"/>
      <c r="J461" s="313"/>
    </row>
    <row r="462" ht="13.5" customHeight="1">
      <c r="A462" s="314"/>
      <c r="B462" s="314"/>
      <c r="C462" s="314"/>
      <c r="D462" s="315"/>
      <c r="E462" s="315"/>
      <c r="F462" s="314"/>
      <c r="G462" s="314"/>
      <c r="J462" s="313"/>
    </row>
    <row r="463" ht="13.5" customHeight="1">
      <c r="A463" s="314"/>
      <c r="B463" s="314"/>
      <c r="C463" s="314"/>
      <c r="D463" s="315"/>
      <c r="E463" s="315"/>
      <c r="F463" s="314"/>
      <c r="G463" s="314"/>
      <c r="J463" s="313"/>
    </row>
    <row r="464" ht="13.5" customHeight="1">
      <c r="A464" s="314"/>
      <c r="B464" s="314"/>
      <c r="C464" s="314"/>
      <c r="D464" s="315"/>
      <c r="E464" s="315"/>
      <c r="F464" s="314"/>
      <c r="G464" s="314"/>
      <c r="J464" s="313"/>
    </row>
    <row r="465" ht="13.5" customHeight="1">
      <c r="A465" s="314"/>
      <c r="B465" s="314"/>
      <c r="C465" s="314"/>
      <c r="D465" s="315"/>
      <c r="E465" s="315"/>
      <c r="F465" s="314"/>
      <c r="G465" s="314"/>
      <c r="J465" s="313"/>
    </row>
    <row r="466" ht="13.5" customHeight="1">
      <c r="A466" s="314"/>
      <c r="B466" s="314"/>
      <c r="C466" s="314"/>
      <c r="D466" s="315"/>
      <c r="E466" s="315"/>
      <c r="F466" s="314"/>
      <c r="G466" s="314"/>
      <c r="J466" s="313"/>
    </row>
    <row r="467" ht="13.5" customHeight="1">
      <c r="A467" s="314"/>
      <c r="B467" s="314"/>
      <c r="C467" s="314"/>
      <c r="D467" s="315"/>
      <c r="E467" s="315"/>
      <c r="F467" s="314"/>
      <c r="G467" s="314"/>
      <c r="J467" s="313"/>
    </row>
    <row r="468" ht="13.5" customHeight="1">
      <c r="A468" s="314"/>
      <c r="B468" s="314"/>
      <c r="C468" s="314"/>
      <c r="D468" s="315"/>
      <c r="E468" s="315"/>
      <c r="F468" s="314"/>
      <c r="G468" s="314"/>
      <c r="J468" s="313"/>
    </row>
    <row r="469" ht="13.5" customHeight="1">
      <c r="A469" s="314"/>
      <c r="B469" s="314"/>
      <c r="C469" s="314"/>
      <c r="D469" s="315"/>
      <c r="E469" s="315"/>
      <c r="F469" s="314"/>
      <c r="G469" s="314"/>
      <c r="J469" s="313"/>
    </row>
    <row r="470" ht="13.5" customHeight="1">
      <c r="A470" s="314"/>
      <c r="B470" s="314"/>
      <c r="C470" s="314"/>
      <c r="D470" s="315"/>
      <c r="E470" s="315"/>
      <c r="F470" s="314"/>
      <c r="G470" s="314"/>
      <c r="J470" s="313"/>
    </row>
    <row r="471" ht="13.5" customHeight="1">
      <c r="A471" s="314"/>
      <c r="B471" s="314"/>
      <c r="C471" s="314"/>
      <c r="D471" s="315"/>
      <c r="E471" s="315"/>
      <c r="F471" s="314"/>
      <c r="G471" s="314"/>
      <c r="J471" s="313"/>
    </row>
    <row r="472" ht="13.5" customHeight="1">
      <c r="A472" s="314"/>
      <c r="B472" s="314"/>
      <c r="C472" s="314"/>
      <c r="D472" s="315"/>
      <c r="E472" s="315"/>
      <c r="F472" s="314"/>
      <c r="G472" s="314"/>
      <c r="J472" s="313"/>
    </row>
    <row r="473" ht="13.5" customHeight="1">
      <c r="A473" s="314"/>
      <c r="B473" s="314"/>
      <c r="C473" s="314"/>
      <c r="D473" s="315"/>
      <c r="E473" s="315"/>
      <c r="F473" s="314"/>
      <c r="G473" s="314"/>
      <c r="J473" s="313"/>
    </row>
    <row r="474" ht="13.5" customHeight="1">
      <c r="A474" s="314"/>
      <c r="B474" s="314"/>
      <c r="C474" s="314"/>
      <c r="D474" s="315"/>
      <c r="E474" s="315"/>
      <c r="F474" s="314"/>
      <c r="G474" s="314"/>
      <c r="J474" s="313"/>
    </row>
    <row r="475" ht="13.5" customHeight="1">
      <c r="A475" s="314"/>
      <c r="B475" s="314"/>
      <c r="C475" s="314"/>
      <c r="D475" s="315"/>
      <c r="E475" s="315"/>
      <c r="F475" s="314"/>
      <c r="G475" s="314"/>
      <c r="J475" s="313"/>
    </row>
    <row r="476" ht="13.5" customHeight="1">
      <c r="A476" s="314"/>
      <c r="B476" s="314"/>
      <c r="C476" s="314"/>
      <c r="D476" s="315"/>
      <c r="E476" s="315"/>
      <c r="F476" s="314"/>
      <c r="G476" s="314"/>
      <c r="J476" s="313"/>
    </row>
    <row r="477" ht="13.5" customHeight="1">
      <c r="A477" s="314"/>
      <c r="B477" s="314"/>
      <c r="C477" s="314"/>
      <c r="D477" s="315"/>
      <c r="E477" s="315"/>
      <c r="F477" s="314"/>
      <c r="G477" s="314"/>
      <c r="J477" s="313"/>
    </row>
    <row r="478" ht="13.5" customHeight="1">
      <c r="A478" s="314"/>
      <c r="B478" s="314"/>
      <c r="C478" s="314"/>
      <c r="D478" s="315"/>
      <c r="E478" s="315"/>
      <c r="F478" s="314"/>
      <c r="G478" s="314"/>
      <c r="J478" s="313"/>
    </row>
    <row r="479" ht="13.5" customHeight="1">
      <c r="A479" s="314"/>
      <c r="B479" s="314"/>
      <c r="C479" s="314"/>
      <c r="D479" s="315"/>
      <c r="E479" s="315"/>
      <c r="F479" s="314"/>
      <c r="G479" s="314"/>
      <c r="J479" s="313"/>
    </row>
    <row r="480" ht="13.5" customHeight="1">
      <c r="A480" s="314"/>
      <c r="B480" s="314"/>
      <c r="C480" s="314"/>
      <c r="D480" s="315"/>
      <c r="E480" s="315"/>
      <c r="F480" s="314"/>
      <c r="G480" s="314"/>
      <c r="J480" s="313"/>
    </row>
    <row r="481" ht="13.5" customHeight="1">
      <c r="A481" s="314"/>
      <c r="B481" s="314"/>
      <c r="C481" s="314"/>
      <c r="D481" s="315"/>
      <c r="E481" s="315"/>
      <c r="F481" s="314"/>
      <c r="G481" s="314"/>
      <c r="J481" s="313"/>
    </row>
    <row r="482" ht="13.5" customHeight="1">
      <c r="A482" s="314"/>
      <c r="B482" s="314"/>
      <c r="C482" s="314"/>
      <c r="D482" s="315"/>
      <c r="E482" s="315"/>
      <c r="F482" s="314"/>
      <c r="G482" s="314"/>
      <c r="J482" s="313"/>
    </row>
    <row r="483" ht="13.5" customHeight="1">
      <c r="A483" s="314"/>
      <c r="B483" s="314"/>
      <c r="C483" s="314"/>
      <c r="D483" s="315"/>
      <c r="E483" s="315"/>
      <c r="F483" s="314"/>
      <c r="G483" s="314"/>
      <c r="J483" s="313"/>
    </row>
    <row r="484" ht="13.5" customHeight="1">
      <c r="A484" s="314"/>
      <c r="B484" s="314"/>
      <c r="C484" s="314"/>
      <c r="D484" s="315"/>
      <c r="E484" s="315"/>
      <c r="F484" s="314"/>
      <c r="G484" s="314"/>
      <c r="J484" s="313"/>
    </row>
    <row r="485" ht="13.5" customHeight="1">
      <c r="A485" s="314"/>
      <c r="B485" s="314"/>
      <c r="C485" s="314"/>
      <c r="D485" s="315"/>
      <c r="E485" s="315"/>
      <c r="F485" s="314"/>
      <c r="G485" s="314"/>
      <c r="J485" s="313"/>
    </row>
    <row r="486" ht="13.5" customHeight="1">
      <c r="A486" s="314"/>
      <c r="B486" s="314"/>
      <c r="C486" s="314"/>
      <c r="D486" s="315"/>
      <c r="E486" s="315"/>
      <c r="F486" s="314"/>
      <c r="G486" s="314"/>
      <c r="J486" s="313"/>
    </row>
    <row r="487" ht="13.5" customHeight="1">
      <c r="A487" s="314"/>
      <c r="B487" s="314"/>
      <c r="C487" s="314"/>
      <c r="D487" s="315"/>
      <c r="E487" s="315"/>
      <c r="F487" s="314"/>
      <c r="G487" s="314"/>
      <c r="J487" s="313"/>
    </row>
    <row r="488" ht="13.5" customHeight="1">
      <c r="A488" s="314"/>
      <c r="B488" s="314"/>
      <c r="C488" s="314"/>
      <c r="D488" s="315"/>
      <c r="E488" s="315"/>
      <c r="F488" s="314"/>
      <c r="G488" s="314"/>
      <c r="J488" s="313"/>
    </row>
    <row r="489" ht="13.5" customHeight="1">
      <c r="A489" s="314"/>
      <c r="B489" s="314"/>
      <c r="C489" s="314"/>
      <c r="D489" s="315"/>
      <c r="E489" s="315"/>
      <c r="F489" s="314"/>
      <c r="G489" s="314"/>
      <c r="J489" s="313"/>
    </row>
    <row r="490" ht="13.5" customHeight="1">
      <c r="A490" s="314"/>
      <c r="B490" s="314"/>
      <c r="C490" s="314"/>
      <c r="D490" s="315"/>
      <c r="E490" s="315"/>
      <c r="F490" s="314"/>
      <c r="G490" s="314"/>
      <c r="J490" s="313"/>
    </row>
    <row r="491" ht="13.5" customHeight="1">
      <c r="A491" s="314"/>
      <c r="B491" s="314"/>
      <c r="C491" s="314"/>
      <c r="D491" s="315"/>
      <c r="E491" s="315"/>
      <c r="F491" s="314"/>
      <c r="G491" s="314"/>
      <c r="J491" s="313"/>
    </row>
    <row r="492" ht="13.5" customHeight="1">
      <c r="A492" s="314"/>
      <c r="B492" s="314"/>
      <c r="C492" s="314"/>
      <c r="D492" s="315"/>
      <c r="E492" s="315"/>
      <c r="F492" s="314"/>
      <c r="G492" s="314"/>
      <c r="J492" s="313"/>
    </row>
    <row r="493" ht="13.5" customHeight="1">
      <c r="A493" s="314"/>
      <c r="B493" s="314"/>
      <c r="C493" s="314"/>
      <c r="D493" s="315"/>
      <c r="E493" s="315"/>
      <c r="F493" s="314"/>
      <c r="G493" s="314"/>
      <c r="J493" s="313"/>
    </row>
    <row r="494" ht="13.5" customHeight="1">
      <c r="A494" s="314"/>
      <c r="B494" s="314"/>
      <c r="C494" s="314"/>
      <c r="D494" s="315"/>
      <c r="E494" s="315"/>
      <c r="F494" s="314"/>
      <c r="G494" s="314"/>
      <c r="J494" s="313"/>
    </row>
    <row r="495" ht="13.5" customHeight="1">
      <c r="A495" s="314"/>
      <c r="B495" s="314"/>
      <c r="C495" s="314"/>
      <c r="D495" s="315"/>
      <c r="E495" s="315"/>
      <c r="F495" s="314"/>
      <c r="G495" s="314"/>
      <c r="J495" s="313"/>
    </row>
    <row r="496" ht="13.5" customHeight="1">
      <c r="A496" s="314"/>
      <c r="B496" s="314"/>
      <c r="C496" s="314"/>
      <c r="D496" s="315"/>
      <c r="E496" s="315"/>
      <c r="F496" s="314"/>
      <c r="G496" s="314"/>
      <c r="J496" s="313"/>
    </row>
    <row r="497" ht="13.5" customHeight="1">
      <c r="A497" s="314"/>
      <c r="B497" s="314"/>
      <c r="C497" s="314"/>
      <c r="D497" s="315"/>
      <c r="E497" s="315"/>
      <c r="F497" s="314"/>
      <c r="G497" s="314"/>
      <c r="J497" s="313"/>
    </row>
    <row r="498" ht="13.5" customHeight="1">
      <c r="A498" s="314"/>
      <c r="B498" s="314"/>
      <c r="C498" s="314"/>
      <c r="D498" s="315"/>
      <c r="E498" s="315"/>
      <c r="F498" s="314"/>
      <c r="G498" s="314"/>
      <c r="J498" s="313"/>
    </row>
    <row r="499" ht="13.5" customHeight="1">
      <c r="A499" s="314"/>
      <c r="B499" s="314"/>
      <c r="C499" s="314"/>
      <c r="D499" s="315"/>
      <c r="E499" s="315"/>
      <c r="F499" s="314"/>
      <c r="G499" s="314"/>
      <c r="J499" s="313"/>
    </row>
    <row r="500" ht="13.5" customHeight="1">
      <c r="A500" s="314"/>
      <c r="B500" s="314"/>
      <c r="C500" s="314"/>
      <c r="D500" s="315"/>
      <c r="E500" s="315"/>
      <c r="F500" s="314"/>
      <c r="G500" s="314"/>
      <c r="J500" s="313"/>
    </row>
    <row r="501" ht="13.5" customHeight="1">
      <c r="A501" s="314"/>
      <c r="B501" s="314"/>
      <c r="C501" s="314"/>
      <c r="D501" s="315"/>
      <c r="E501" s="315"/>
      <c r="F501" s="314"/>
      <c r="G501" s="314"/>
      <c r="J501" s="313"/>
    </row>
    <row r="502" ht="13.5" customHeight="1">
      <c r="A502" s="314"/>
      <c r="B502" s="314"/>
      <c r="C502" s="314"/>
      <c r="D502" s="315"/>
      <c r="E502" s="315"/>
      <c r="F502" s="314"/>
      <c r="G502" s="314"/>
      <c r="J502" s="313"/>
    </row>
    <row r="503" ht="13.5" customHeight="1">
      <c r="A503" s="314"/>
      <c r="B503" s="314"/>
      <c r="C503" s="314"/>
      <c r="D503" s="315"/>
      <c r="E503" s="315"/>
      <c r="F503" s="314"/>
      <c r="G503" s="314"/>
      <c r="J503" s="313"/>
    </row>
    <row r="504" ht="13.5" customHeight="1">
      <c r="A504" s="314"/>
      <c r="B504" s="314"/>
      <c r="C504" s="314"/>
      <c r="D504" s="315"/>
      <c r="E504" s="315"/>
      <c r="F504" s="314"/>
      <c r="G504" s="314"/>
      <c r="J504" s="313"/>
    </row>
    <row r="505" ht="13.5" customHeight="1">
      <c r="A505" s="314"/>
      <c r="B505" s="314"/>
      <c r="C505" s="314"/>
      <c r="D505" s="315"/>
      <c r="E505" s="315"/>
      <c r="F505" s="314"/>
      <c r="G505" s="314"/>
      <c r="J505" s="313"/>
    </row>
    <row r="506" ht="13.5" customHeight="1">
      <c r="A506" s="314"/>
      <c r="B506" s="314"/>
      <c r="C506" s="314"/>
      <c r="D506" s="315"/>
      <c r="E506" s="315"/>
      <c r="F506" s="314"/>
      <c r="G506" s="314"/>
      <c r="J506" s="313"/>
    </row>
    <row r="507" ht="13.5" customHeight="1">
      <c r="A507" s="314"/>
      <c r="B507" s="314"/>
      <c r="C507" s="314"/>
      <c r="D507" s="315"/>
      <c r="E507" s="315"/>
      <c r="F507" s="314"/>
      <c r="G507" s="314"/>
      <c r="J507" s="313"/>
    </row>
    <row r="508" ht="13.5" customHeight="1">
      <c r="A508" s="314"/>
      <c r="B508" s="314"/>
      <c r="C508" s="314"/>
      <c r="D508" s="315"/>
      <c r="E508" s="315"/>
      <c r="F508" s="314"/>
      <c r="G508" s="314"/>
      <c r="J508" s="313"/>
    </row>
    <row r="509" ht="13.5" customHeight="1">
      <c r="A509" s="314"/>
      <c r="B509" s="314"/>
      <c r="C509" s="314"/>
      <c r="D509" s="315"/>
      <c r="E509" s="315"/>
      <c r="F509" s="314"/>
      <c r="G509" s="314"/>
      <c r="J509" s="313"/>
    </row>
    <row r="510" ht="13.5" customHeight="1">
      <c r="A510" s="314"/>
      <c r="B510" s="314"/>
      <c r="C510" s="314"/>
      <c r="D510" s="315"/>
      <c r="E510" s="315"/>
      <c r="F510" s="314"/>
      <c r="G510" s="314"/>
      <c r="J510" s="313"/>
    </row>
    <row r="511" ht="13.5" customHeight="1">
      <c r="A511" s="314"/>
      <c r="B511" s="314"/>
      <c r="C511" s="314"/>
      <c r="D511" s="315"/>
      <c r="E511" s="315"/>
      <c r="F511" s="314"/>
      <c r="G511" s="314"/>
      <c r="J511" s="313"/>
    </row>
    <row r="512" ht="13.5" customHeight="1">
      <c r="A512" s="314"/>
      <c r="B512" s="314"/>
      <c r="C512" s="314"/>
      <c r="D512" s="315"/>
      <c r="E512" s="315"/>
      <c r="F512" s="314"/>
      <c r="G512" s="314"/>
      <c r="J512" s="313"/>
    </row>
    <row r="513" ht="13.5" customHeight="1">
      <c r="A513" s="314"/>
      <c r="B513" s="314"/>
      <c r="C513" s="314"/>
      <c r="D513" s="315"/>
      <c r="E513" s="315"/>
      <c r="F513" s="314"/>
      <c r="G513" s="314"/>
      <c r="J513" s="313"/>
    </row>
    <row r="514" ht="13.5" customHeight="1">
      <c r="A514" s="314"/>
      <c r="B514" s="314"/>
      <c r="C514" s="314"/>
      <c r="D514" s="315"/>
      <c r="E514" s="315"/>
      <c r="F514" s="314"/>
      <c r="G514" s="314"/>
      <c r="J514" s="313"/>
    </row>
    <row r="515" ht="13.5" customHeight="1">
      <c r="A515" s="314"/>
      <c r="B515" s="314"/>
      <c r="C515" s="314"/>
      <c r="D515" s="315"/>
      <c r="E515" s="315"/>
      <c r="F515" s="314"/>
      <c r="G515" s="314"/>
      <c r="J515" s="313"/>
    </row>
    <row r="516" ht="13.5" customHeight="1">
      <c r="A516" s="314"/>
      <c r="B516" s="314"/>
      <c r="C516" s="314"/>
      <c r="D516" s="315"/>
      <c r="E516" s="315"/>
      <c r="F516" s="314"/>
      <c r="G516" s="314"/>
      <c r="J516" s="313"/>
    </row>
    <row r="517" ht="13.5" customHeight="1">
      <c r="A517" s="314"/>
      <c r="B517" s="314"/>
      <c r="C517" s="314"/>
      <c r="D517" s="315"/>
      <c r="E517" s="315"/>
      <c r="F517" s="314"/>
      <c r="G517" s="314"/>
      <c r="J517" s="313"/>
    </row>
    <row r="518" ht="13.5" customHeight="1">
      <c r="A518" s="314"/>
      <c r="B518" s="314"/>
      <c r="C518" s="314"/>
      <c r="D518" s="315"/>
      <c r="E518" s="315"/>
      <c r="F518" s="314"/>
      <c r="G518" s="314"/>
      <c r="J518" s="313"/>
    </row>
    <row r="519" ht="13.5" customHeight="1">
      <c r="A519" s="314"/>
      <c r="B519" s="314"/>
      <c r="C519" s="314"/>
      <c r="D519" s="315"/>
      <c r="E519" s="315"/>
      <c r="F519" s="314"/>
      <c r="G519" s="314"/>
      <c r="J519" s="313"/>
    </row>
    <row r="520" ht="13.5" customHeight="1">
      <c r="A520" s="314"/>
      <c r="B520" s="314"/>
      <c r="C520" s="314"/>
      <c r="D520" s="315"/>
      <c r="E520" s="315"/>
      <c r="F520" s="314"/>
      <c r="G520" s="314"/>
      <c r="J520" s="313"/>
    </row>
    <row r="521" ht="13.5" customHeight="1">
      <c r="A521" s="314"/>
      <c r="B521" s="314"/>
      <c r="C521" s="314"/>
      <c r="D521" s="315"/>
      <c r="E521" s="315"/>
      <c r="F521" s="314"/>
      <c r="G521" s="314"/>
      <c r="J521" s="313"/>
    </row>
    <row r="522" ht="13.5" customHeight="1">
      <c r="A522" s="314"/>
      <c r="B522" s="314"/>
      <c r="C522" s="314"/>
      <c r="D522" s="315"/>
      <c r="E522" s="315"/>
      <c r="F522" s="314"/>
      <c r="G522" s="314"/>
      <c r="J522" s="313"/>
    </row>
    <row r="523" ht="13.5" customHeight="1">
      <c r="A523" s="314"/>
      <c r="B523" s="314"/>
      <c r="C523" s="314"/>
      <c r="D523" s="315"/>
      <c r="E523" s="315"/>
      <c r="F523" s="314"/>
      <c r="G523" s="314"/>
      <c r="J523" s="313"/>
    </row>
    <row r="524" ht="13.5" customHeight="1">
      <c r="A524" s="314"/>
      <c r="B524" s="314"/>
      <c r="C524" s="314"/>
      <c r="D524" s="315"/>
      <c r="E524" s="315"/>
      <c r="F524" s="314"/>
      <c r="G524" s="314"/>
      <c r="J524" s="313"/>
    </row>
    <row r="525" ht="13.5" customHeight="1">
      <c r="A525" s="314"/>
      <c r="B525" s="314"/>
      <c r="C525" s="314"/>
      <c r="D525" s="315"/>
      <c r="E525" s="315"/>
      <c r="F525" s="314"/>
      <c r="G525" s="314"/>
      <c r="J525" s="313"/>
    </row>
    <row r="526" ht="13.5" customHeight="1">
      <c r="A526" s="314"/>
      <c r="B526" s="314"/>
      <c r="C526" s="314"/>
      <c r="D526" s="315"/>
      <c r="E526" s="315"/>
      <c r="F526" s="314"/>
      <c r="G526" s="314"/>
      <c r="J526" s="313"/>
    </row>
    <row r="527" ht="13.5" customHeight="1">
      <c r="A527" s="314"/>
      <c r="B527" s="314"/>
      <c r="C527" s="314"/>
      <c r="D527" s="315"/>
      <c r="E527" s="315"/>
      <c r="F527" s="314"/>
      <c r="G527" s="314"/>
      <c r="J527" s="313"/>
    </row>
    <row r="528" ht="13.5" customHeight="1">
      <c r="A528" s="314"/>
      <c r="B528" s="314"/>
      <c r="C528" s="314"/>
      <c r="D528" s="315"/>
      <c r="E528" s="315"/>
      <c r="F528" s="314"/>
      <c r="G528" s="314"/>
      <c r="J528" s="313"/>
    </row>
    <row r="529" ht="13.5" customHeight="1">
      <c r="A529" s="314"/>
      <c r="B529" s="314"/>
      <c r="C529" s="314"/>
      <c r="D529" s="315"/>
      <c r="E529" s="315"/>
      <c r="F529" s="314"/>
      <c r="G529" s="314"/>
      <c r="J529" s="313"/>
    </row>
    <row r="530" ht="13.5" customHeight="1">
      <c r="A530" s="314"/>
      <c r="B530" s="314"/>
      <c r="C530" s="314"/>
      <c r="D530" s="315"/>
      <c r="E530" s="315"/>
      <c r="F530" s="314"/>
      <c r="G530" s="314"/>
      <c r="J530" s="313"/>
    </row>
    <row r="531" ht="13.5" customHeight="1">
      <c r="A531" s="314"/>
      <c r="B531" s="314"/>
      <c r="C531" s="314"/>
      <c r="D531" s="315"/>
      <c r="E531" s="315"/>
      <c r="F531" s="314"/>
      <c r="G531" s="314"/>
      <c r="J531" s="313"/>
    </row>
    <row r="532" ht="13.5" customHeight="1">
      <c r="A532" s="314"/>
      <c r="B532" s="314"/>
      <c r="C532" s="314"/>
      <c r="D532" s="315"/>
      <c r="E532" s="315"/>
      <c r="F532" s="314"/>
      <c r="G532" s="314"/>
      <c r="J532" s="313"/>
    </row>
    <row r="533" ht="13.5" customHeight="1">
      <c r="A533" s="314"/>
      <c r="B533" s="314"/>
      <c r="C533" s="314"/>
      <c r="D533" s="315"/>
      <c r="E533" s="315"/>
      <c r="F533" s="314"/>
      <c r="G533" s="314"/>
      <c r="J533" s="313"/>
    </row>
    <row r="534" ht="13.5" customHeight="1">
      <c r="A534" s="314"/>
      <c r="B534" s="314"/>
      <c r="C534" s="314"/>
      <c r="D534" s="315"/>
      <c r="E534" s="315"/>
      <c r="F534" s="314"/>
      <c r="G534" s="314"/>
      <c r="J534" s="313"/>
    </row>
    <row r="535" ht="13.5" customHeight="1">
      <c r="A535" s="314"/>
      <c r="B535" s="314"/>
      <c r="C535" s="314"/>
      <c r="D535" s="315"/>
      <c r="E535" s="315"/>
      <c r="F535" s="314"/>
      <c r="G535" s="314"/>
      <c r="J535" s="313"/>
    </row>
    <row r="536" ht="13.5" customHeight="1">
      <c r="A536" s="314"/>
      <c r="B536" s="314"/>
      <c r="C536" s="314"/>
      <c r="D536" s="315"/>
      <c r="E536" s="315"/>
      <c r="F536" s="314"/>
      <c r="G536" s="314"/>
      <c r="J536" s="313"/>
    </row>
    <row r="537" ht="13.5" customHeight="1">
      <c r="A537" s="314"/>
      <c r="B537" s="314"/>
      <c r="C537" s="314"/>
      <c r="D537" s="315"/>
      <c r="E537" s="315"/>
      <c r="F537" s="314"/>
      <c r="G537" s="314"/>
      <c r="J537" s="313"/>
    </row>
    <row r="538" ht="13.5" customHeight="1">
      <c r="A538" s="314"/>
      <c r="B538" s="314"/>
      <c r="C538" s="314"/>
      <c r="D538" s="315"/>
      <c r="E538" s="315"/>
      <c r="F538" s="314"/>
      <c r="G538" s="314"/>
      <c r="J538" s="313"/>
    </row>
    <row r="539" ht="13.5" customHeight="1">
      <c r="A539" s="314"/>
      <c r="B539" s="314"/>
      <c r="C539" s="314"/>
      <c r="D539" s="315"/>
      <c r="E539" s="315"/>
      <c r="F539" s="314"/>
      <c r="G539" s="314"/>
      <c r="J539" s="313"/>
    </row>
    <row r="540" ht="13.5" customHeight="1">
      <c r="A540" s="314"/>
      <c r="B540" s="314"/>
      <c r="C540" s="314"/>
      <c r="D540" s="315"/>
      <c r="E540" s="315"/>
      <c r="F540" s="314"/>
      <c r="G540" s="314"/>
      <c r="J540" s="313"/>
    </row>
    <row r="541" ht="13.5" customHeight="1">
      <c r="A541" s="314"/>
      <c r="B541" s="314"/>
      <c r="C541" s="314"/>
      <c r="D541" s="315"/>
      <c r="E541" s="315"/>
      <c r="F541" s="314"/>
      <c r="G541" s="314"/>
      <c r="J541" s="313"/>
    </row>
    <row r="542" ht="13.5" customHeight="1">
      <c r="A542" s="314"/>
      <c r="B542" s="314"/>
      <c r="C542" s="314"/>
      <c r="D542" s="315"/>
      <c r="E542" s="315"/>
      <c r="F542" s="314"/>
      <c r="G542" s="314"/>
      <c r="J542" s="313"/>
    </row>
    <row r="543" ht="13.5" customHeight="1">
      <c r="A543" s="314"/>
      <c r="B543" s="314"/>
      <c r="C543" s="314"/>
      <c r="D543" s="315"/>
      <c r="E543" s="315"/>
      <c r="F543" s="314"/>
      <c r="G543" s="314"/>
      <c r="J543" s="313"/>
    </row>
    <row r="544" ht="13.5" customHeight="1">
      <c r="A544" s="314"/>
      <c r="B544" s="314"/>
      <c r="C544" s="314"/>
      <c r="D544" s="315"/>
      <c r="E544" s="315"/>
      <c r="F544" s="314"/>
      <c r="G544" s="314"/>
      <c r="J544" s="313"/>
    </row>
    <row r="545" ht="13.5" customHeight="1">
      <c r="A545" s="314"/>
      <c r="B545" s="314"/>
      <c r="C545" s="314"/>
      <c r="D545" s="315"/>
      <c r="E545" s="315"/>
      <c r="F545" s="314"/>
      <c r="G545" s="314"/>
      <c r="J545" s="313"/>
    </row>
    <row r="546" ht="13.5" customHeight="1">
      <c r="A546" s="314"/>
      <c r="B546" s="314"/>
      <c r="C546" s="314"/>
      <c r="D546" s="315"/>
      <c r="E546" s="315"/>
      <c r="F546" s="314"/>
      <c r="G546" s="314"/>
      <c r="J546" s="313"/>
    </row>
    <row r="547" ht="13.5" customHeight="1">
      <c r="A547" s="314"/>
      <c r="B547" s="314"/>
      <c r="C547" s="314"/>
      <c r="D547" s="315"/>
      <c r="E547" s="315"/>
      <c r="F547" s="314"/>
      <c r="G547" s="314"/>
      <c r="J547" s="313"/>
    </row>
    <row r="548" ht="13.5" customHeight="1">
      <c r="A548" s="314"/>
      <c r="B548" s="314"/>
      <c r="C548" s="314"/>
      <c r="D548" s="315"/>
      <c r="E548" s="315"/>
      <c r="F548" s="314"/>
      <c r="G548" s="314"/>
      <c r="J548" s="313"/>
    </row>
    <row r="549" ht="13.5" customHeight="1">
      <c r="A549" s="314"/>
      <c r="B549" s="314"/>
      <c r="C549" s="314"/>
      <c r="D549" s="315"/>
      <c r="E549" s="315"/>
      <c r="F549" s="314"/>
      <c r="G549" s="314"/>
      <c r="J549" s="313"/>
    </row>
    <row r="550" ht="13.5" customHeight="1">
      <c r="A550" s="314"/>
      <c r="B550" s="314"/>
      <c r="C550" s="314"/>
      <c r="D550" s="315"/>
      <c r="E550" s="315"/>
      <c r="F550" s="314"/>
      <c r="G550" s="314"/>
      <c r="J550" s="313"/>
    </row>
    <row r="551" ht="13.5" customHeight="1">
      <c r="A551" s="314"/>
      <c r="B551" s="314"/>
      <c r="C551" s="314"/>
      <c r="D551" s="315"/>
      <c r="E551" s="315"/>
      <c r="F551" s="314"/>
      <c r="G551" s="314"/>
      <c r="J551" s="313"/>
    </row>
    <row r="552" ht="13.5" customHeight="1">
      <c r="A552" s="314"/>
      <c r="B552" s="314"/>
      <c r="C552" s="314"/>
      <c r="D552" s="315"/>
      <c r="E552" s="315"/>
      <c r="F552" s="314"/>
      <c r="G552" s="314"/>
      <c r="J552" s="313"/>
    </row>
    <row r="553" ht="13.5" customHeight="1">
      <c r="A553" s="314"/>
      <c r="B553" s="314"/>
      <c r="C553" s="314"/>
      <c r="D553" s="315"/>
      <c r="E553" s="315"/>
      <c r="F553" s="314"/>
      <c r="G553" s="314"/>
      <c r="J553" s="313"/>
    </row>
    <row r="554" ht="13.5" customHeight="1">
      <c r="A554" s="314"/>
      <c r="B554" s="314"/>
      <c r="C554" s="314"/>
      <c r="D554" s="315"/>
      <c r="E554" s="315"/>
      <c r="F554" s="314"/>
      <c r="G554" s="314"/>
      <c r="J554" s="313"/>
    </row>
    <row r="555" ht="13.5" customHeight="1">
      <c r="A555" s="314"/>
      <c r="B555" s="314"/>
      <c r="C555" s="314"/>
      <c r="D555" s="315"/>
      <c r="E555" s="315"/>
      <c r="F555" s="314"/>
      <c r="G555" s="314"/>
      <c r="J555" s="313"/>
    </row>
    <row r="556" ht="13.5" customHeight="1">
      <c r="A556" s="314"/>
      <c r="B556" s="314"/>
      <c r="C556" s="314"/>
      <c r="D556" s="315"/>
      <c r="E556" s="315"/>
      <c r="F556" s="314"/>
      <c r="G556" s="314"/>
      <c r="J556" s="313"/>
    </row>
    <row r="557" ht="13.5" customHeight="1">
      <c r="A557" s="314"/>
      <c r="B557" s="314"/>
      <c r="C557" s="314"/>
      <c r="D557" s="315"/>
      <c r="E557" s="315"/>
      <c r="F557" s="314"/>
      <c r="G557" s="314"/>
      <c r="J557" s="313"/>
    </row>
    <row r="558" ht="13.5" customHeight="1">
      <c r="A558" s="314"/>
      <c r="B558" s="314"/>
      <c r="C558" s="314"/>
      <c r="D558" s="315"/>
      <c r="E558" s="315"/>
      <c r="F558" s="314"/>
      <c r="G558" s="314"/>
      <c r="J558" s="313"/>
    </row>
    <row r="559" ht="13.5" customHeight="1">
      <c r="A559" s="314"/>
      <c r="B559" s="314"/>
      <c r="C559" s="314"/>
      <c r="D559" s="315"/>
      <c r="E559" s="315"/>
      <c r="F559" s="314"/>
      <c r="G559" s="314"/>
      <c r="J559" s="313"/>
    </row>
    <row r="560" ht="13.5" customHeight="1">
      <c r="A560" s="314"/>
      <c r="B560" s="314"/>
      <c r="C560" s="314"/>
      <c r="D560" s="315"/>
      <c r="E560" s="315"/>
      <c r="F560" s="314"/>
      <c r="G560" s="314"/>
      <c r="J560" s="313"/>
    </row>
    <row r="561" ht="13.5" customHeight="1">
      <c r="A561" s="314"/>
      <c r="B561" s="314"/>
      <c r="C561" s="314"/>
      <c r="D561" s="315"/>
      <c r="E561" s="315"/>
      <c r="F561" s="314"/>
      <c r="G561" s="314"/>
      <c r="J561" s="313"/>
    </row>
    <row r="562" ht="13.5" customHeight="1">
      <c r="A562" s="314"/>
      <c r="B562" s="314"/>
      <c r="C562" s="314"/>
      <c r="D562" s="315"/>
      <c r="E562" s="315"/>
      <c r="F562" s="314"/>
      <c r="G562" s="314"/>
      <c r="J562" s="313"/>
    </row>
    <row r="563" ht="13.5" customHeight="1">
      <c r="A563" s="314"/>
      <c r="B563" s="314"/>
      <c r="C563" s="314"/>
      <c r="D563" s="315"/>
      <c r="E563" s="315"/>
      <c r="F563" s="314"/>
      <c r="G563" s="314"/>
      <c r="J563" s="313"/>
    </row>
    <row r="564" ht="13.5" customHeight="1">
      <c r="A564" s="314"/>
      <c r="B564" s="314"/>
      <c r="C564" s="314"/>
      <c r="D564" s="315"/>
      <c r="E564" s="315"/>
      <c r="F564" s="314"/>
      <c r="G564" s="314"/>
      <c r="J564" s="313"/>
    </row>
    <row r="565" ht="13.5" customHeight="1">
      <c r="A565" s="314"/>
      <c r="B565" s="314"/>
      <c r="C565" s="314"/>
      <c r="D565" s="315"/>
      <c r="E565" s="315"/>
      <c r="F565" s="314"/>
      <c r="G565" s="314"/>
      <c r="J565" s="313"/>
    </row>
    <row r="566" ht="13.5" customHeight="1">
      <c r="A566" s="314"/>
      <c r="B566" s="314"/>
      <c r="C566" s="314"/>
      <c r="D566" s="315"/>
      <c r="E566" s="315"/>
      <c r="F566" s="314"/>
      <c r="G566" s="314"/>
      <c r="J566" s="313"/>
    </row>
    <row r="567" ht="13.5" customHeight="1">
      <c r="A567" s="314"/>
      <c r="B567" s="314"/>
      <c r="C567" s="314"/>
      <c r="D567" s="315"/>
      <c r="E567" s="315"/>
      <c r="F567" s="314"/>
      <c r="G567" s="314"/>
      <c r="J567" s="313"/>
    </row>
    <row r="568" ht="13.5" customHeight="1">
      <c r="A568" s="314"/>
      <c r="B568" s="314"/>
      <c r="C568" s="314"/>
      <c r="D568" s="315"/>
      <c r="E568" s="315"/>
      <c r="F568" s="314"/>
      <c r="G568" s="314"/>
      <c r="J568" s="313"/>
    </row>
    <row r="569" ht="13.5" customHeight="1">
      <c r="A569" s="314"/>
      <c r="B569" s="314"/>
      <c r="C569" s="314"/>
      <c r="D569" s="315"/>
      <c r="E569" s="315"/>
      <c r="F569" s="314"/>
      <c r="G569" s="314"/>
      <c r="J569" s="313"/>
    </row>
    <row r="570" ht="13.5" customHeight="1">
      <c r="A570" s="314"/>
      <c r="B570" s="314"/>
      <c r="C570" s="314"/>
      <c r="D570" s="315"/>
      <c r="E570" s="315"/>
      <c r="F570" s="314"/>
      <c r="G570" s="314"/>
      <c r="J570" s="313"/>
    </row>
    <row r="571" ht="13.5" customHeight="1">
      <c r="A571" s="314"/>
      <c r="B571" s="314"/>
      <c r="C571" s="314"/>
      <c r="D571" s="315"/>
      <c r="E571" s="315"/>
      <c r="F571" s="314"/>
      <c r="G571" s="314"/>
      <c r="J571" s="313"/>
    </row>
    <row r="572" ht="13.5" customHeight="1">
      <c r="A572" s="314"/>
      <c r="B572" s="314"/>
      <c r="C572" s="314"/>
      <c r="D572" s="315"/>
      <c r="E572" s="315"/>
      <c r="F572" s="314"/>
      <c r="G572" s="314"/>
      <c r="J572" s="313"/>
    </row>
    <row r="573" ht="13.5" customHeight="1">
      <c r="A573" s="314"/>
      <c r="B573" s="314"/>
      <c r="C573" s="314"/>
      <c r="D573" s="315"/>
      <c r="E573" s="315"/>
      <c r="F573" s="314"/>
      <c r="G573" s="314"/>
      <c r="J573" s="313"/>
    </row>
    <row r="574" ht="13.5" customHeight="1">
      <c r="A574" s="314"/>
      <c r="B574" s="314"/>
      <c r="C574" s="314"/>
      <c r="D574" s="315"/>
      <c r="E574" s="315"/>
      <c r="F574" s="314"/>
      <c r="G574" s="314"/>
      <c r="J574" s="313"/>
    </row>
    <row r="575" ht="13.5" customHeight="1">
      <c r="A575" s="314"/>
      <c r="B575" s="314"/>
      <c r="C575" s="314"/>
      <c r="D575" s="315"/>
      <c r="E575" s="315"/>
      <c r="F575" s="314"/>
      <c r="G575" s="314"/>
      <c r="J575" s="313"/>
    </row>
    <row r="576" ht="13.5" customHeight="1">
      <c r="A576" s="314"/>
      <c r="B576" s="314"/>
      <c r="C576" s="314"/>
      <c r="D576" s="315"/>
      <c r="E576" s="315"/>
      <c r="F576" s="314"/>
      <c r="G576" s="314"/>
      <c r="J576" s="313"/>
    </row>
    <row r="577" ht="13.5" customHeight="1">
      <c r="A577" s="314"/>
      <c r="B577" s="314"/>
      <c r="C577" s="314"/>
      <c r="D577" s="315"/>
      <c r="E577" s="315"/>
      <c r="F577" s="314"/>
      <c r="G577" s="314"/>
      <c r="J577" s="313"/>
    </row>
    <row r="578" ht="13.5" customHeight="1">
      <c r="A578" s="314"/>
      <c r="B578" s="314"/>
      <c r="C578" s="314"/>
      <c r="D578" s="315"/>
      <c r="E578" s="315"/>
      <c r="F578" s="314"/>
      <c r="G578" s="314"/>
      <c r="J578" s="313"/>
    </row>
    <row r="579" ht="13.5" customHeight="1">
      <c r="A579" s="314"/>
      <c r="B579" s="314"/>
      <c r="C579" s="314"/>
      <c r="D579" s="315"/>
      <c r="E579" s="315"/>
      <c r="F579" s="314"/>
      <c r="G579" s="314"/>
      <c r="J579" s="313"/>
    </row>
    <row r="580" ht="13.5" customHeight="1">
      <c r="A580" s="314"/>
      <c r="B580" s="314"/>
      <c r="C580" s="314"/>
      <c r="D580" s="315"/>
      <c r="E580" s="315"/>
      <c r="F580" s="314"/>
      <c r="G580" s="314"/>
      <c r="J580" s="313"/>
    </row>
    <row r="581" ht="13.5" customHeight="1">
      <c r="A581" s="314"/>
      <c r="B581" s="314"/>
      <c r="C581" s="314"/>
      <c r="D581" s="315"/>
      <c r="E581" s="315"/>
      <c r="F581" s="314"/>
      <c r="G581" s="314"/>
      <c r="J581" s="313"/>
    </row>
    <row r="582" ht="13.5" customHeight="1">
      <c r="A582" s="314"/>
      <c r="B582" s="314"/>
      <c r="C582" s="314"/>
      <c r="D582" s="315"/>
      <c r="E582" s="315"/>
      <c r="F582" s="314"/>
      <c r="G582" s="314"/>
      <c r="J582" s="313"/>
    </row>
    <row r="583" ht="13.5" customHeight="1">
      <c r="A583" s="314"/>
      <c r="B583" s="314"/>
      <c r="C583" s="314"/>
      <c r="D583" s="315"/>
      <c r="E583" s="315"/>
      <c r="F583" s="314"/>
      <c r="G583" s="314"/>
      <c r="J583" s="313"/>
    </row>
    <row r="584" ht="13.5" customHeight="1">
      <c r="A584" s="314"/>
      <c r="B584" s="314"/>
      <c r="C584" s="314"/>
      <c r="D584" s="315"/>
      <c r="E584" s="315"/>
      <c r="F584" s="314"/>
      <c r="G584" s="314"/>
      <c r="J584" s="313"/>
    </row>
    <row r="585" ht="13.5" customHeight="1">
      <c r="A585" s="314"/>
      <c r="B585" s="314"/>
      <c r="C585" s="314"/>
      <c r="D585" s="315"/>
      <c r="E585" s="315"/>
      <c r="F585" s="314"/>
      <c r="G585" s="314"/>
      <c r="J585" s="313"/>
    </row>
    <row r="586" ht="13.5" customHeight="1">
      <c r="A586" s="314"/>
      <c r="B586" s="314"/>
      <c r="C586" s="314"/>
      <c r="D586" s="315"/>
      <c r="E586" s="315"/>
      <c r="F586" s="314"/>
      <c r="G586" s="314"/>
      <c r="J586" s="313"/>
    </row>
    <row r="587" ht="13.5" customHeight="1">
      <c r="A587" s="314"/>
      <c r="B587" s="314"/>
      <c r="C587" s="314"/>
      <c r="D587" s="315"/>
      <c r="E587" s="315"/>
      <c r="F587" s="314"/>
      <c r="G587" s="314"/>
      <c r="J587" s="313"/>
    </row>
    <row r="588" ht="13.5" customHeight="1">
      <c r="A588" s="314"/>
      <c r="B588" s="314"/>
      <c r="C588" s="314"/>
      <c r="D588" s="315"/>
      <c r="E588" s="315"/>
      <c r="F588" s="314"/>
      <c r="G588" s="314"/>
      <c r="J588" s="313"/>
    </row>
    <row r="589" ht="13.5" customHeight="1">
      <c r="A589" s="314"/>
      <c r="B589" s="314"/>
      <c r="C589" s="314"/>
      <c r="D589" s="315"/>
      <c r="E589" s="315"/>
      <c r="F589" s="314"/>
      <c r="G589" s="314"/>
      <c r="J589" s="313"/>
    </row>
    <row r="590" ht="13.5" customHeight="1">
      <c r="A590" s="314"/>
      <c r="B590" s="314"/>
      <c r="C590" s="314"/>
      <c r="D590" s="315"/>
      <c r="E590" s="315"/>
      <c r="F590" s="314"/>
      <c r="G590" s="314"/>
      <c r="J590" s="313"/>
    </row>
    <row r="591" ht="13.5" customHeight="1">
      <c r="A591" s="314"/>
      <c r="B591" s="314"/>
      <c r="C591" s="314"/>
      <c r="D591" s="315"/>
      <c r="E591" s="315"/>
      <c r="F591" s="314"/>
      <c r="G591" s="314"/>
      <c r="J591" s="313"/>
    </row>
    <row r="592" ht="13.5" customHeight="1">
      <c r="A592" s="314"/>
      <c r="B592" s="314"/>
      <c r="C592" s="314"/>
      <c r="D592" s="315"/>
      <c r="E592" s="315"/>
      <c r="F592" s="314"/>
      <c r="G592" s="314"/>
      <c r="J592" s="313"/>
    </row>
    <row r="593" ht="13.5" customHeight="1">
      <c r="A593" s="314"/>
      <c r="B593" s="314"/>
      <c r="C593" s="314"/>
      <c r="D593" s="315"/>
      <c r="E593" s="315"/>
      <c r="F593" s="314"/>
      <c r="G593" s="314"/>
      <c r="J593" s="313"/>
    </row>
    <row r="594" ht="13.5" customHeight="1">
      <c r="A594" s="314"/>
      <c r="B594" s="314"/>
      <c r="C594" s="314"/>
      <c r="D594" s="315"/>
      <c r="E594" s="315"/>
      <c r="F594" s="314"/>
      <c r="G594" s="314"/>
      <c r="J594" s="313"/>
    </row>
    <row r="595" ht="13.5" customHeight="1">
      <c r="A595" s="314"/>
      <c r="B595" s="314"/>
      <c r="C595" s="314"/>
      <c r="D595" s="315"/>
      <c r="E595" s="315"/>
      <c r="F595" s="314"/>
      <c r="G595" s="314"/>
      <c r="J595" s="313"/>
    </row>
    <row r="596" ht="13.5" customHeight="1">
      <c r="A596" s="314"/>
      <c r="B596" s="314"/>
      <c r="C596" s="314"/>
      <c r="D596" s="315"/>
      <c r="E596" s="315"/>
      <c r="F596" s="314"/>
      <c r="G596" s="314"/>
      <c r="J596" s="313"/>
    </row>
    <row r="597" ht="13.5" customHeight="1">
      <c r="A597" s="314"/>
      <c r="B597" s="314"/>
      <c r="C597" s="314"/>
      <c r="D597" s="315"/>
      <c r="E597" s="315"/>
      <c r="F597" s="314"/>
      <c r="G597" s="314"/>
      <c r="J597" s="313"/>
    </row>
    <row r="598" ht="13.5" customHeight="1">
      <c r="A598" s="314"/>
      <c r="B598" s="314"/>
      <c r="C598" s="314"/>
      <c r="D598" s="315"/>
      <c r="E598" s="315"/>
      <c r="F598" s="314"/>
      <c r="G598" s="314"/>
      <c r="J598" s="313"/>
    </row>
    <row r="599" ht="13.5" customHeight="1">
      <c r="A599" s="314"/>
      <c r="B599" s="314"/>
      <c r="C599" s="314"/>
      <c r="D599" s="315"/>
      <c r="E599" s="315"/>
      <c r="F599" s="314"/>
      <c r="G599" s="314"/>
      <c r="J599" s="313"/>
    </row>
    <row r="600" ht="13.5" customHeight="1">
      <c r="A600" s="314"/>
      <c r="B600" s="314"/>
      <c r="C600" s="314"/>
      <c r="D600" s="315"/>
      <c r="E600" s="315"/>
      <c r="F600" s="314"/>
      <c r="G600" s="314"/>
      <c r="J600" s="313"/>
    </row>
    <row r="601" ht="13.5" customHeight="1">
      <c r="A601" s="314"/>
      <c r="B601" s="314"/>
      <c r="C601" s="314"/>
      <c r="D601" s="315"/>
      <c r="E601" s="315"/>
      <c r="F601" s="314"/>
      <c r="G601" s="314"/>
      <c r="J601" s="313"/>
    </row>
    <row r="602" ht="13.5" customHeight="1">
      <c r="A602" s="314"/>
      <c r="B602" s="314"/>
      <c r="C602" s="314"/>
      <c r="D602" s="315"/>
      <c r="E602" s="315"/>
      <c r="F602" s="314"/>
      <c r="G602" s="314"/>
      <c r="J602" s="313"/>
    </row>
    <row r="603" ht="13.5" customHeight="1">
      <c r="A603" s="314"/>
      <c r="B603" s="314"/>
      <c r="C603" s="314"/>
      <c r="D603" s="315"/>
      <c r="E603" s="315"/>
      <c r="F603" s="314"/>
      <c r="G603" s="314"/>
      <c r="J603" s="313"/>
    </row>
    <row r="604" ht="13.5" customHeight="1">
      <c r="A604" s="314"/>
      <c r="B604" s="314"/>
      <c r="C604" s="314"/>
      <c r="D604" s="315"/>
      <c r="E604" s="315"/>
      <c r="F604" s="314"/>
      <c r="G604" s="314"/>
      <c r="J604" s="313"/>
    </row>
    <row r="605" ht="13.5" customHeight="1">
      <c r="A605" s="314"/>
      <c r="B605" s="314"/>
      <c r="C605" s="314"/>
      <c r="D605" s="315"/>
      <c r="E605" s="315"/>
      <c r="F605" s="314"/>
      <c r="G605" s="314"/>
      <c r="J605" s="313"/>
    </row>
    <row r="606" ht="13.5" customHeight="1">
      <c r="A606" s="314"/>
      <c r="B606" s="314"/>
      <c r="C606" s="314"/>
      <c r="D606" s="315"/>
      <c r="E606" s="315"/>
      <c r="F606" s="314"/>
      <c r="G606" s="314"/>
      <c r="J606" s="313"/>
    </row>
    <row r="607" ht="13.5" customHeight="1">
      <c r="A607" s="314"/>
      <c r="B607" s="314"/>
      <c r="C607" s="314"/>
      <c r="D607" s="315"/>
      <c r="E607" s="315"/>
      <c r="F607" s="314"/>
      <c r="G607" s="314"/>
      <c r="J607" s="313"/>
    </row>
    <row r="608" ht="13.5" customHeight="1">
      <c r="A608" s="314"/>
      <c r="B608" s="314"/>
      <c r="C608" s="314"/>
      <c r="D608" s="315"/>
      <c r="E608" s="315"/>
      <c r="F608" s="314"/>
      <c r="G608" s="314"/>
      <c r="J608" s="313"/>
    </row>
    <row r="609" ht="13.5" customHeight="1">
      <c r="A609" s="314"/>
      <c r="B609" s="314"/>
      <c r="C609" s="314"/>
      <c r="D609" s="315"/>
      <c r="E609" s="315"/>
      <c r="F609" s="314"/>
      <c r="G609" s="314"/>
      <c r="J609" s="313"/>
    </row>
    <row r="610" ht="13.5" customHeight="1">
      <c r="A610" s="314"/>
      <c r="B610" s="314"/>
      <c r="C610" s="314"/>
      <c r="D610" s="315"/>
      <c r="E610" s="315"/>
      <c r="F610" s="314"/>
      <c r="G610" s="314"/>
      <c r="J610" s="313"/>
    </row>
    <row r="611" ht="13.5" customHeight="1">
      <c r="A611" s="314"/>
      <c r="B611" s="314"/>
      <c r="C611" s="314"/>
      <c r="D611" s="315"/>
      <c r="E611" s="315"/>
      <c r="F611" s="314"/>
      <c r="G611" s="314"/>
      <c r="J611" s="313"/>
    </row>
    <row r="612" ht="13.5" customHeight="1">
      <c r="A612" s="314"/>
      <c r="B612" s="314"/>
      <c r="C612" s="314"/>
      <c r="D612" s="315"/>
      <c r="E612" s="315"/>
      <c r="F612" s="314"/>
      <c r="G612" s="314"/>
      <c r="J612" s="313"/>
    </row>
    <row r="613" ht="13.5" customHeight="1">
      <c r="A613" s="314"/>
      <c r="B613" s="314"/>
      <c r="C613" s="314"/>
      <c r="D613" s="315"/>
      <c r="E613" s="315"/>
      <c r="F613" s="314"/>
      <c r="G613" s="314"/>
      <c r="J613" s="313"/>
    </row>
    <row r="614" ht="13.5" customHeight="1">
      <c r="A614" s="314"/>
      <c r="B614" s="314"/>
      <c r="C614" s="314"/>
      <c r="D614" s="315"/>
      <c r="E614" s="315"/>
      <c r="F614" s="314"/>
      <c r="G614" s="314"/>
      <c r="J614" s="313"/>
    </row>
    <row r="615" ht="13.5" customHeight="1">
      <c r="A615" s="314"/>
      <c r="B615" s="314"/>
      <c r="C615" s="314"/>
      <c r="D615" s="315"/>
      <c r="E615" s="315"/>
      <c r="F615" s="314"/>
      <c r="G615" s="314"/>
      <c r="J615" s="313"/>
    </row>
    <row r="616" ht="13.5" customHeight="1">
      <c r="A616" s="314"/>
      <c r="B616" s="314"/>
      <c r="C616" s="314"/>
      <c r="D616" s="315"/>
      <c r="E616" s="315"/>
      <c r="F616" s="314"/>
      <c r="G616" s="314"/>
      <c r="J616" s="313"/>
    </row>
    <row r="617" ht="13.5" customHeight="1">
      <c r="A617" s="314"/>
      <c r="B617" s="314"/>
      <c r="C617" s="314"/>
      <c r="D617" s="315"/>
      <c r="E617" s="315"/>
      <c r="F617" s="314"/>
      <c r="G617" s="314"/>
      <c r="J617" s="313"/>
    </row>
    <row r="618" ht="13.5" customHeight="1">
      <c r="A618" s="314"/>
      <c r="B618" s="314"/>
      <c r="C618" s="314"/>
      <c r="D618" s="315"/>
      <c r="E618" s="315"/>
      <c r="F618" s="314"/>
      <c r="G618" s="314"/>
      <c r="J618" s="313"/>
    </row>
    <row r="619" ht="13.5" customHeight="1">
      <c r="A619" s="314"/>
      <c r="B619" s="314"/>
      <c r="C619" s="314"/>
      <c r="D619" s="315"/>
      <c r="E619" s="315"/>
      <c r="F619" s="314"/>
      <c r="G619" s="314"/>
      <c r="J619" s="313"/>
    </row>
    <row r="620" ht="13.5" customHeight="1">
      <c r="A620" s="314"/>
      <c r="B620" s="314"/>
      <c r="C620" s="314"/>
      <c r="D620" s="315"/>
      <c r="E620" s="315"/>
      <c r="F620" s="314"/>
      <c r="G620" s="314"/>
      <c r="J620" s="313"/>
    </row>
    <row r="621" ht="13.5" customHeight="1">
      <c r="A621" s="314"/>
      <c r="B621" s="314"/>
      <c r="C621" s="314"/>
      <c r="D621" s="315"/>
      <c r="E621" s="315"/>
      <c r="F621" s="314"/>
      <c r="G621" s="314"/>
      <c r="J621" s="313"/>
    </row>
    <row r="622" ht="13.5" customHeight="1">
      <c r="A622" s="314"/>
      <c r="B622" s="314"/>
      <c r="C622" s="314"/>
      <c r="D622" s="315"/>
      <c r="E622" s="315"/>
      <c r="F622" s="314"/>
      <c r="G622" s="314"/>
      <c r="J622" s="313"/>
    </row>
    <row r="623" ht="13.5" customHeight="1">
      <c r="A623" s="314"/>
      <c r="B623" s="314"/>
      <c r="C623" s="314"/>
      <c r="D623" s="315"/>
      <c r="E623" s="315"/>
      <c r="F623" s="314"/>
      <c r="G623" s="314"/>
      <c r="J623" s="313"/>
    </row>
    <row r="624" ht="13.5" customHeight="1">
      <c r="A624" s="314"/>
      <c r="B624" s="314"/>
      <c r="C624" s="314"/>
      <c r="D624" s="315"/>
      <c r="E624" s="315"/>
      <c r="F624" s="314"/>
      <c r="G624" s="314"/>
      <c r="J624" s="313"/>
    </row>
    <row r="625" ht="13.5" customHeight="1">
      <c r="A625" s="314"/>
      <c r="B625" s="314"/>
      <c r="C625" s="314"/>
      <c r="D625" s="315"/>
      <c r="E625" s="315"/>
      <c r="F625" s="314"/>
      <c r="G625" s="314"/>
      <c r="J625" s="313"/>
    </row>
    <row r="626" ht="13.5" customHeight="1">
      <c r="A626" s="314"/>
      <c r="B626" s="314"/>
      <c r="C626" s="314"/>
      <c r="D626" s="315"/>
      <c r="E626" s="315"/>
      <c r="F626" s="314"/>
      <c r="G626" s="314"/>
      <c r="J626" s="313"/>
    </row>
    <row r="627" ht="13.5" customHeight="1">
      <c r="A627" s="314"/>
      <c r="B627" s="314"/>
      <c r="C627" s="314"/>
      <c r="D627" s="315"/>
      <c r="E627" s="315"/>
      <c r="F627" s="314"/>
      <c r="G627" s="314"/>
      <c r="J627" s="313"/>
    </row>
    <row r="628" ht="13.5" customHeight="1">
      <c r="A628" s="314"/>
      <c r="B628" s="314"/>
      <c r="C628" s="314"/>
      <c r="D628" s="315"/>
      <c r="E628" s="315"/>
      <c r="F628" s="314"/>
      <c r="G628" s="314"/>
      <c r="J628" s="313"/>
    </row>
    <row r="629" ht="13.5" customHeight="1">
      <c r="A629" s="314"/>
      <c r="B629" s="314"/>
      <c r="C629" s="314"/>
      <c r="D629" s="315"/>
      <c r="E629" s="315"/>
      <c r="F629" s="314"/>
      <c r="G629" s="314"/>
      <c r="J629" s="313"/>
    </row>
    <row r="630" ht="13.5" customHeight="1">
      <c r="A630" s="314"/>
      <c r="B630" s="314"/>
      <c r="C630" s="314"/>
      <c r="D630" s="315"/>
      <c r="E630" s="315"/>
      <c r="F630" s="314"/>
      <c r="G630" s="314"/>
      <c r="J630" s="313"/>
    </row>
    <row r="631" ht="13.5" customHeight="1">
      <c r="A631" s="314"/>
      <c r="B631" s="314"/>
      <c r="C631" s="314"/>
      <c r="D631" s="315"/>
      <c r="E631" s="315"/>
      <c r="F631" s="314"/>
      <c r="G631" s="314"/>
      <c r="J631" s="313"/>
    </row>
    <row r="632" ht="13.5" customHeight="1">
      <c r="A632" s="314"/>
      <c r="B632" s="314"/>
      <c r="C632" s="314"/>
      <c r="D632" s="315"/>
      <c r="E632" s="315"/>
      <c r="F632" s="314"/>
      <c r="G632" s="314"/>
      <c r="J632" s="313"/>
    </row>
    <row r="633" ht="13.5" customHeight="1">
      <c r="A633" s="314"/>
      <c r="B633" s="314"/>
      <c r="C633" s="314"/>
      <c r="D633" s="315"/>
      <c r="E633" s="315"/>
      <c r="F633" s="314"/>
      <c r="G633" s="314"/>
      <c r="J633" s="313"/>
    </row>
    <row r="634" ht="13.5" customHeight="1">
      <c r="A634" s="314"/>
      <c r="B634" s="314"/>
      <c r="C634" s="314"/>
      <c r="D634" s="315"/>
      <c r="E634" s="315"/>
      <c r="F634" s="314"/>
      <c r="G634" s="314"/>
      <c r="J634" s="313"/>
    </row>
    <row r="635" ht="13.5" customHeight="1">
      <c r="A635" s="314"/>
      <c r="B635" s="314"/>
      <c r="C635" s="314"/>
      <c r="D635" s="315"/>
      <c r="E635" s="315"/>
      <c r="F635" s="314"/>
      <c r="G635" s="314"/>
      <c r="J635" s="313"/>
    </row>
    <row r="636" ht="13.5" customHeight="1">
      <c r="A636" s="314"/>
      <c r="B636" s="314"/>
      <c r="C636" s="314"/>
      <c r="D636" s="315"/>
      <c r="E636" s="315"/>
      <c r="F636" s="314"/>
      <c r="G636" s="314"/>
      <c r="J636" s="313"/>
    </row>
    <row r="637" ht="13.5" customHeight="1">
      <c r="A637" s="314"/>
      <c r="B637" s="314"/>
      <c r="C637" s="314"/>
      <c r="D637" s="315"/>
      <c r="E637" s="315"/>
      <c r="F637" s="314"/>
      <c r="G637" s="314"/>
      <c r="J637" s="313"/>
    </row>
    <row r="638" ht="13.5" customHeight="1">
      <c r="A638" s="314"/>
      <c r="B638" s="314"/>
      <c r="C638" s="314"/>
      <c r="D638" s="315"/>
      <c r="E638" s="315"/>
      <c r="F638" s="314"/>
      <c r="G638" s="314"/>
      <c r="J638" s="313"/>
    </row>
    <row r="639" ht="13.5" customHeight="1">
      <c r="A639" s="314"/>
      <c r="B639" s="314"/>
      <c r="C639" s="314"/>
      <c r="D639" s="315"/>
      <c r="E639" s="315"/>
      <c r="F639" s="314"/>
      <c r="G639" s="314"/>
      <c r="J639" s="313"/>
    </row>
    <row r="640" ht="13.5" customHeight="1">
      <c r="A640" s="314"/>
      <c r="B640" s="314"/>
      <c r="C640" s="314"/>
      <c r="D640" s="315"/>
      <c r="E640" s="315"/>
      <c r="F640" s="314"/>
      <c r="G640" s="314"/>
      <c r="J640" s="313"/>
    </row>
    <row r="641" ht="13.5" customHeight="1">
      <c r="A641" s="314"/>
      <c r="B641" s="314"/>
      <c r="C641" s="314"/>
      <c r="D641" s="315"/>
      <c r="E641" s="315"/>
      <c r="F641" s="314"/>
      <c r="G641" s="314"/>
      <c r="J641" s="313"/>
    </row>
    <row r="642" ht="13.5" customHeight="1">
      <c r="A642" s="314"/>
      <c r="B642" s="314"/>
      <c r="C642" s="314"/>
      <c r="D642" s="315"/>
      <c r="E642" s="315"/>
      <c r="F642" s="314"/>
      <c r="G642" s="314"/>
      <c r="J642" s="313"/>
    </row>
    <row r="643" ht="13.5" customHeight="1">
      <c r="A643" s="314"/>
      <c r="B643" s="314"/>
      <c r="C643" s="314"/>
      <c r="D643" s="315"/>
      <c r="E643" s="315"/>
      <c r="F643" s="314"/>
      <c r="G643" s="314"/>
      <c r="J643" s="313"/>
    </row>
    <row r="644" ht="13.5" customHeight="1">
      <c r="A644" s="314"/>
      <c r="B644" s="314"/>
      <c r="C644" s="314"/>
      <c r="D644" s="315"/>
      <c r="E644" s="315"/>
      <c r="F644" s="314"/>
      <c r="G644" s="314"/>
      <c r="J644" s="313"/>
    </row>
    <row r="645" ht="13.5" customHeight="1">
      <c r="A645" s="314"/>
      <c r="B645" s="314"/>
      <c r="C645" s="314"/>
      <c r="D645" s="315"/>
      <c r="E645" s="315"/>
      <c r="F645" s="314"/>
      <c r="G645" s="314"/>
      <c r="J645" s="313"/>
    </row>
    <row r="646" ht="13.5" customHeight="1">
      <c r="A646" s="314"/>
      <c r="B646" s="314"/>
      <c r="C646" s="314"/>
      <c r="D646" s="315"/>
      <c r="E646" s="315"/>
      <c r="F646" s="314"/>
      <c r="G646" s="314"/>
      <c r="J646" s="313"/>
    </row>
    <row r="647" ht="13.5" customHeight="1">
      <c r="A647" s="314"/>
      <c r="B647" s="314"/>
      <c r="C647" s="314"/>
      <c r="D647" s="315"/>
      <c r="E647" s="315"/>
      <c r="F647" s="314"/>
      <c r="G647" s="314"/>
      <c r="J647" s="313"/>
    </row>
    <row r="648" ht="13.5" customHeight="1">
      <c r="A648" s="314"/>
      <c r="B648" s="314"/>
      <c r="C648" s="314"/>
      <c r="D648" s="315"/>
      <c r="E648" s="315"/>
      <c r="F648" s="314"/>
      <c r="G648" s="314"/>
      <c r="J648" s="313"/>
    </row>
    <row r="649" ht="13.5" customHeight="1">
      <c r="A649" s="314"/>
      <c r="B649" s="314"/>
      <c r="C649" s="314"/>
      <c r="D649" s="315"/>
      <c r="E649" s="315"/>
      <c r="F649" s="314"/>
      <c r="G649" s="314"/>
      <c r="J649" s="313"/>
    </row>
    <row r="650" ht="13.5" customHeight="1">
      <c r="A650" s="314"/>
      <c r="B650" s="314"/>
      <c r="C650" s="314"/>
      <c r="D650" s="315"/>
      <c r="E650" s="315"/>
      <c r="F650" s="314"/>
      <c r="G650" s="314"/>
      <c r="J650" s="313"/>
    </row>
    <row r="651" ht="13.5" customHeight="1">
      <c r="A651" s="314"/>
      <c r="B651" s="314"/>
      <c r="C651" s="314"/>
      <c r="D651" s="315"/>
      <c r="E651" s="315"/>
      <c r="F651" s="314"/>
      <c r="G651" s="314"/>
      <c r="J651" s="313"/>
    </row>
    <row r="652" ht="13.5" customHeight="1">
      <c r="A652" s="314"/>
      <c r="B652" s="314"/>
      <c r="C652" s="314"/>
      <c r="D652" s="315"/>
      <c r="E652" s="315"/>
      <c r="F652" s="314"/>
      <c r="G652" s="314"/>
      <c r="J652" s="313"/>
    </row>
    <row r="653" ht="13.5" customHeight="1">
      <c r="A653" s="314"/>
      <c r="B653" s="314"/>
      <c r="C653" s="314"/>
      <c r="D653" s="315"/>
      <c r="E653" s="315"/>
      <c r="F653" s="314"/>
      <c r="G653" s="314"/>
      <c r="J653" s="313"/>
    </row>
    <row r="654" ht="13.5" customHeight="1">
      <c r="A654" s="314"/>
      <c r="B654" s="314"/>
      <c r="C654" s="314"/>
      <c r="D654" s="315"/>
      <c r="E654" s="315"/>
      <c r="F654" s="314"/>
      <c r="G654" s="314"/>
      <c r="J654" s="313"/>
    </row>
    <row r="655" ht="13.5" customHeight="1">
      <c r="A655" s="314"/>
      <c r="B655" s="314"/>
      <c r="C655" s="314"/>
      <c r="D655" s="315"/>
      <c r="E655" s="315"/>
      <c r="F655" s="314"/>
      <c r="G655" s="314"/>
      <c r="J655" s="313"/>
    </row>
    <row r="656" ht="13.5" customHeight="1">
      <c r="A656" s="314"/>
      <c r="B656" s="314"/>
      <c r="C656" s="314"/>
      <c r="D656" s="315"/>
      <c r="E656" s="315"/>
      <c r="F656" s="314"/>
      <c r="G656" s="314"/>
      <c r="J656" s="313"/>
    </row>
    <row r="657" ht="13.5" customHeight="1">
      <c r="A657" s="314"/>
      <c r="B657" s="314"/>
      <c r="C657" s="314"/>
      <c r="D657" s="315"/>
      <c r="E657" s="315"/>
      <c r="F657" s="314"/>
      <c r="G657" s="314"/>
      <c r="J657" s="313"/>
    </row>
    <row r="658" ht="13.5" customHeight="1">
      <c r="A658" s="314"/>
      <c r="B658" s="314"/>
      <c r="C658" s="314"/>
      <c r="D658" s="315"/>
      <c r="E658" s="315"/>
      <c r="F658" s="314"/>
      <c r="G658" s="314"/>
      <c r="J658" s="313"/>
    </row>
    <row r="659" ht="13.5" customHeight="1">
      <c r="A659" s="314"/>
      <c r="B659" s="314"/>
      <c r="C659" s="314"/>
      <c r="D659" s="315"/>
      <c r="E659" s="315"/>
      <c r="F659" s="314"/>
      <c r="G659" s="314"/>
      <c r="J659" s="313"/>
    </row>
    <row r="660" ht="13.5" customHeight="1">
      <c r="A660" s="314"/>
      <c r="B660" s="314"/>
      <c r="C660" s="314"/>
      <c r="D660" s="315"/>
      <c r="E660" s="315"/>
      <c r="F660" s="314"/>
      <c r="G660" s="314"/>
      <c r="J660" s="313"/>
    </row>
    <row r="661" ht="13.5" customHeight="1">
      <c r="A661" s="314"/>
      <c r="B661" s="314"/>
      <c r="C661" s="314"/>
      <c r="D661" s="315"/>
      <c r="E661" s="315"/>
      <c r="F661" s="314"/>
      <c r="G661" s="314"/>
      <c r="J661" s="313"/>
    </row>
    <row r="662" ht="13.5" customHeight="1">
      <c r="A662" s="314"/>
      <c r="B662" s="314"/>
      <c r="C662" s="314"/>
      <c r="D662" s="315"/>
      <c r="E662" s="315"/>
      <c r="F662" s="314"/>
      <c r="G662" s="314"/>
      <c r="J662" s="313"/>
    </row>
    <row r="663" ht="13.5" customHeight="1">
      <c r="A663" s="314"/>
      <c r="B663" s="314"/>
      <c r="C663" s="314"/>
      <c r="D663" s="315"/>
      <c r="E663" s="315"/>
      <c r="F663" s="314"/>
      <c r="G663" s="314"/>
      <c r="J663" s="313"/>
    </row>
    <row r="664" ht="13.5" customHeight="1">
      <c r="A664" s="314"/>
      <c r="B664" s="314"/>
      <c r="C664" s="314"/>
      <c r="D664" s="315"/>
      <c r="E664" s="315"/>
      <c r="F664" s="314"/>
      <c r="G664" s="314"/>
      <c r="J664" s="313"/>
    </row>
    <row r="665" ht="13.5" customHeight="1">
      <c r="A665" s="314"/>
      <c r="B665" s="314"/>
      <c r="C665" s="314"/>
      <c r="D665" s="315"/>
      <c r="E665" s="315"/>
      <c r="F665" s="314"/>
      <c r="G665" s="314"/>
      <c r="J665" s="313"/>
    </row>
    <row r="666" ht="13.5" customHeight="1">
      <c r="A666" s="314"/>
      <c r="B666" s="314"/>
      <c r="C666" s="314"/>
      <c r="D666" s="315"/>
      <c r="E666" s="315"/>
      <c r="F666" s="314"/>
      <c r="G666" s="314"/>
      <c r="J666" s="313"/>
    </row>
    <row r="667" ht="13.5" customHeight="1">
      <c r="A667" s="314"/>
      <c r="B667" s="314"/>
      <c r="C667" s="314"/>
      <c r="D667" s="315"/>
      <c r="E667" s="315"/>
      <c r="F667" s="314"/>
      <c r="G667" s="314"/>
      <c r="J667" s="313"/>
    </row>
    <row r="668" ht="13.5" customHeight="1">
      <c r="A668" s="314"/>
      <c r="B668" s="314"/>
      <c r="C668" s="314"/>
      <c r="D668" s="315"/>
      <c r="E668" s="315"/>
      <c r="F668" s="314"/>
      <c r="G668" s="314"/>
      <c r="J668" s="313"/>
    </row>
    <row r="669" ht="13.5" customHeight="1">
      <c r="A669" s="314"/>
      <c r="B669" s="314"/>
      <c r="C669" s="314"/>
      <c r="D669" s="315"/>
      <c r="E669" s="315"/>
      <c r="F669" s="314"/>
      <c r="G669" s="314"/>
      <c r="J669" s="313"/>
    </row>
    <row r="670" ht="13.5" customHeight="1">
      <c r="A670" s="314"/>
      <c r="B670" s="314"/>
      <c r="C670" s="314"/>
      <c r="D670" s="315"/>
      <c r="E670" s="315"/>
      <c r="F670" s="314"/>
      <c r="G670" s="314"/>
      <c r="J670" s="313"/>
    </row>
    <row r="671" ht="13.5" customHeight="1">
      <c r="A671" s="314"/>
      <c r="B671" s="314"/>
      <c r="C671" s="314"/>
      <c r="D671" s="315"/>
      <c r="E671" s="315"/>
      <c r="F671" s="314"/>
      <c r="G671" s="314"/>
      <c r="J671" s="313"/>
    </row>
    <row r="672" ht="13.5" customHeight="1">
      <c r="A672" s="314"/>
      <c r="B672" s="314"/>
      <c r="C672" s="314"/>
      <c r="D672" s="315"/>
      <c r="E672" s="315"/>
      <c r="F672" s="314"/>
      <c r="G672" s="314"/>
      <c r="J672" s="313"/>
    </row>
    <row r="673" ht="13.5" customHeight="1">
      <c r="A673" s="314"/>
      <c r="B673" s="314"/>
      <c r="C673" s="314"/>
      <c r="D673" s="315"/>
      <c r="E673" s="315"/>
      <c r="F673" s="314"/>
      <c r="G673" s="314"/>
      <c r="J673" s="313"/>
    </row>
    <row r="674" ht="13.5" customHeight="1">
      <c r="A674" s="314"/>
      <c r="B674" s="314"/>
      <c r="C674" s="314"/>
      <c r="D674" s="315"/>
      <c r="E674" s="315"/>
      <c r="F674" s="314"/>
      <c r="G674" s="314"/>
      <c r="J674" s="313"/>
    </row>
    <row r="675" ht="13.5" customHeight="1">
      <c r="A675" s="314"/>
      <c r="B675" s="314"/>
      <c r="C675" s="314"/>
      <c r="D675" s="315"/>
      <c r="E675" s="315"/>
      <c r="F675" s="314"/>
      <c r="G675" s="314"/>
      <c r="J675" s="313"/>
    </row>
    <row r="676" ht="13.5" customHeight="1">
      <c r="A676" s="314"/>
      <c r="B676" s="314"/>
      <c r="C676" s="314"/>
      <c r="D676" s="315"/>
      <c r="E676" s="315"/>
      <c r="F676" s="314"/>
      <c r="G676" s="314"/>
      <c r="J676" s="313"/>
    </row>
    <row r="677" ht="13.5" customHeight="1">
      <c r="A677" s="314"/>
      <c r="B677" s="314"/>
      <c r="C677" s="314"/>
      <c r="D677" s="315"/>
      <c r="E677" s="315"/>
      <c r="F677" s="314"/>
      <c r="G677" s="314"/>
      <c r="J677" s="313"/>
    </row>
    <row r="678" ht="13.5" customHeight="1">
      <c r="A678" s="314"/>
      <c r="B678" s="314"/>
      <c r="C678" s="314"/>
      <c r="D678" s="315"/>
      <c r="E678" s="315"/>
      <c r="F678" s="314"/>
      <c r="G678" s="314"/>
      <c r="J678" s="313"/>
    </row>
    <row r="679" ht="13.5" customHeight="1">
      <c r="A679" s="314"/>
      <c r="B679" s="314"/>
      <c r="C679" s="314"/>
      <c r="D679" s="315"/>
      <c r="E679" s="315"/>
      <c r="F679" s="314"/>
      <c r="G679" s="314"/>
      <c r="J679" s="313"/>
    </row>
    <row r="680" ht="13.5" customHeight="1">
      <c r="A680" s="314"/>
      <c r="B680" s="314"/>
      <c r="C680" s="314"/>
      <c r="D680" s="315"/>
      <c r="E680" s="315"/>
      <c r="F680" s="314"/>
      <c r="G680" s="314"/>
      <c r="J680" s="313"/>
    </row>
    <row r="681" ht="13.5" customHeight="1">
      <c r="A681" s="314"/>
      <c r="B681" s="314"/>
      <c r="C681" s="314"/>
      <c r="D681" s="315"/>
      <c r="E681" s="315"/>
      <c r="F681" s="314"/>
      <c r="G681" s="314"/>
      <c r="J681" s="313"/>
    </row>
    <row r="682" ht="13.5" customHeight="1">
      <c r="A682" s="314"/>
      <c r="B682" s="314"/>
      <c r="C682" s="314"/>
      <c r="D682" s="315"/>
      <c r="E682" s="315"/>
      <c r="F682" s="314"/>
      <c r="G682" s="314"/>
      <c r="J682" s="313"/>
    </row>
    <row r="683" ht="13.5" customHeight="1">
      <c r="A683" s="314"/>
      <c r="B683" s="314"/>
      <c r="C683" s="314"/>
      <c r="D683" s="315"/>
      <c r="E683" s="315"/>
      <c r="F683" s="314"/>
      <c r="G683" s="314"/>
      <c r="J683" s="313"/>
    </row>
    <row r="684" ht="13.5" customHeight="1">
      <c r="A684" s="314"/>
      <c r="B684" s="314"/>
      <c r="C684" s="314"/>
      <c r="D684" s="315"/>
      <c r="E684" s="315"/>
      <c r="F684" s="314"/>
      <c r="G684" s="314"/>
      <c r="J684" s="313"/>
    </row>
    <row r="685" ht="13.5" customHeight="1">
      <c r="A685" s="314"/>
      <c r="B685" s="314"/>
      <c r="C685" s="314"/>
      <c r="D685" s="315"/>
      <c r="E685" s="315"/>
      <c r="F685" s="314"/>
      <c r="G685" s="314"/>
      <c r="J685" s="313"/>
    </row>
    <row r="686" ht="13.5" customHeight="1">
      <c r="A686" s="314"/>
      <c r="B686" s="314"/>
      <c r="C686" s="314"/>
      <c r="D686" s="315"/>
      <c r="E686" s="315"/>
      <c r="F686" s="314"/>
      <c r="G686" s="314"/>
      <c r="J686" s="313"/>
    </row>
    <row r="687" ht="13.5" customHeight="1">
      <c r="A687" s="314"/>
      <c r="B687" s="314"/>
      <c r="C687" s="314"/>
      <c r="D687" s="315"/>
      <c r="E687" s="315"/>
      <c r="F687" s="314"/>
      <c r="G687" s="314"/>
      <c r="J687" s="313"/>
    </row>
    <row r="688" ht="13.5" customHeight="1">
      <c r="A688" s="314"/>
      <c r="B688" s="314"/>
      <c r="C688" s="314"/>
      <c r="D688" s="315"/>
      <c r="E688" s="315"/>
      <c r="F688" s="314"/>
      <c r="G688" s="314"/>
      <c r="J688" s="313"/>
    </row>
    <row r="689" ht="13.5" customHeight="1">
      <c r="A689" s="314"/>
      <c r="B689" s="314"/>
      <c r="C689" s="314"/>
      <c r="D689" s="315"/>
      <c r="E689" s="315"/>
      <c r="F689" s="314"/>
      <c r="G689" s="314"/>
      <c r="J689" s="313"/>
    </row>
    <row r="690" ht="13.5" customHeight="1">
      <c r="A690" s="314"/>
      <c r="B690" s="314"/>
      <c r="C690" s="314"/>
      <c r="D690" s="315"/>
      <c r="E690" s="315"/>
      <c r="F690" s="314"/>
      <c r="G690" s="314"/>
      <c r="J690" s="313"/>
    </row>
    <row r="691" ht="13.5" customHeight="1">
      <c r="A691" s="314"/>
      <c r="B691" s="314"/>
      <c r="C691" s="314"/>
      <c r="D691" s="315"/>
      <c r="E691" s="315"/>
      <c r="F691" s="314"/>
      <c r="G691" s="314"/>
      <c r="J691" s="313"/>
    </row>
    <row r="692" ht="13.5" customHeight="1">
      <c r="A692" s="314"/>
      <c r="B692" s="314"/>
      <c r="C692" s="314"/>
      <c r="D692" s="315"/>
      <c r="E692" s="315"/>
      <c r="F692" s="314"/>
      <c r="G692" s="314"/>
      <c r="J692" s="313"/>
    </row>
    <row r="693" ht="13.5" customHeight="1">
      <c r="A693" s="314"/>
      <c r="B693" s="314"/>
      <c r="C693" s="314"/>
      <c r="D693" s="315"/>
      <c r="E693" s="315"/>
      <c r="F693" s="314"/>
      <c r="G693" s="314"/>
      <c r="J693" s="313"/>
    </row>
    <row r="694" ht="13.5" customHeight="1">
      <c r="A694" s="314"/>
      <c r="B694" s="314"/>
      <c r="C694" s="314"/>
      <c r="D694" s="315"/>
      <c r="E694" s="315"/>
      <c r="F694" s="314"/>
      <c r="G694" s="314"/>
      <c r="J694" s="313"/>
    </row>
    <row r="695" ht="13.5" customHeight="1">
      <c r="A695" s="314"/>
      <c r="B695" s="314"/>
      <c r="C695" s="314"/>
      <c r="D695" s="315"/>
      <c r="E695" s="315"/>
      <c r="F695" s="314"/>
      <c r="G695" s="314"/>
      <c r="J695" s="313"/>
    </row>
    <row r="696" ht="13.5" customHeight="1">
      <c r="A696" s="314"/>
      <c r="B696" s="314"/>
      <c r="C696" s="314"/>
      <c r="D696" s="315"/>
      <c r="E696" s="315"/>
      <c r="F696" s="314"/>
      <c r="G696" s="314"/>
      <c r="J696" s="313"/>
    </row>
    <row r="697" ht="13.5" customHeight="1">
      <c r="A697" s="314"/>
      <c r="B697" s="314"/>
      <c r="C697" s="314"/>
      <c r="D697" s="315"/>
      <c r="E697" s="315"/>
      <c r="F697" s="314"/>
      <c r="G697" s="314"/>
      <c r="J697" s="313"/>
    </row>
    <row r="698" ht="13.5" customHeight="1">
      <c r="A698" s="314"/>
      <c r="B698" s="314"/>
      <c r="C698" s="314"/>
      <c r="D698" s="315"/>
      <c r="E698" s="315"/>
      <c r="F698" s="314"/>
      <c r="G698" s="314"/>
      <c r="J698" s="313"/>
    </row>
    <row r="699" ht="13.5" customHeight="1">
      <c r="A699" s="314"/>
      <c r="B699" s="314"/>
      <c r="C699" s="314"/>
      <c r="D699" s="315"/>
      <c r="E699" s="315"/>
      <c r="F699" s="314"/>
      <c r="G699" s="314"/>
      <c r="J699" s="313"/>
    </row>
    <row r="700" ht="13.5" customHeight="1">
      <c r="A700" s="314"/>
      <c r="B700" s="314"/>
      <c r="C700" s="314"/>
      <c r="D700" s="315"/>
      <c r="E700" s="315"/>
      <c r="F700" s="314"/>
      <c r="G700" s="314"/>
      <c r="J700" s="313"/>
    </row>
    <row r="701" ht="13.5" customHeight="1">
      <c r="A701" s="314"/>
      <c r="B701" s="314"/>
      <c r="C701" s="314"/>
      <c r="D701" s="315"/>
      <c r="E701" s="315"/>
      <c r="F701" s="314"/>
      <c r="G701" s="314"/>
      <c r="J701" s="313"/>
    </row>
    <row r="702" ht="13.5" customHeight="1">
      <c r="A702" s="314"/>
      <c r="B702" s="314"/>
      <c r="C702" s="314"/>
      <c r="D702" s="315"/>
      <c r="E702" s="315"/>
      <c r="F702" s="314"/>
      <c r="G702" s="314"/>
      <c r="J702" s="313"/>
    </row>
    <row r="703" ht="13.5" customHeight="1">
      <c r="A703" s="314"/>
      <c r="B703" s="314"/>
      <c r="C703" s="314"/>
      <c r="D703" s="315"/>
      <c r="E703" s="315"/>
      <c r="F703" s="314"/>
      <c r="G703" s="314"/>
      <c r="J703" s="313"/>
    </row>
    <row r="704" ht="13.5" customHeight="1">
      <c r="A704" s="314"/>
      <c r="B704" s="314"/>
      <c r="C704" s="314"/>
      <c r="D704" s="315"/>
      <c r="E704" s="315"/>
      <c r="F704" s="314"/>
      <c r="G704" s="314"/>
      <c r="J704" s="313"/>
    </row>
    <row r="705" ht="13.5" customHeight="1">
      <c r="A705" s="314"/>
      <c r="B705" s="314"/>
      <c r="C705" s="314"/>
      <c r="D705" s="315"/>
      <c r="E705" s="315"/>
      <c r="F705" s="314"/>
      <c r="G705" s="314"/>
      <c r="J705" s="313"/>
    </row>
    <row r="706" ht="13.5" customHeight="1">
      <c r="A706" s="314"/>
      <c r="B706" s="314"/>
      <c r="C706" s="314"/>
      <c r="D706" s="315"/>
      <c r="E706" s="315"/>
      <c r="F706" s="314"/>
      <c r="G706" s="314"/>
      <c r="J706" s="313"/>
    </row>
    <row r="707" ht="13.5" customHeight="1">
      <c r="A707" s="314"/>
      <c r="B707" s="314"/>
      <c r="C707" s="314"/>
      <c r="D707" s="315"/>
      <c r="E707" s="315"/>
      <c r="F707" s="314"/>
      <c r="G707" s="314"/>
      <c r="J707" s="313"/>
    </row>
    <row r="708" ht="13.5" customHeight="1">
      <c r="A708" s="314"/>
      <c r="B708" s="314"/>
      <c r="C708" s="314"/>
      <c r="D708" s="315"/>
      <c r="E708" s="315"/>
      <c r="F708" s="314"/>
      <c r="G708" s="314"/>
      <c r="J708" s="313"/>
    </row>
    <row r="709" ht="13.5" customHeight="1">
      <c r="A709" s="314"/>
      <c r="B709" s="314"/>
      <c r="C709" s="314"/>
      <c r="D709" s="315"/>
      <c r="E709" s="315"/>
      <c r="F709" s="314"/>
      <c r="G709" s="314"/>
      <c r="J709" s="313"/>
    </row>
    <row r="710" ht="13.5" customHeight="1">
      <c r="A710" s="314"/>
      <c r="B710" s="314"/>
      <c r="C710" s="314"/>
      <c r="D710" s="315"/>
      <c r="E710" s="315"/>
      <c r="F710" s="314"/>
      <c r="G710" s="314"/>
      <c r="J710" s="313"/>
    </row>
    <row r="711" ht="13.5" customHeight="1">
      <c r="A711" s="314"/>
      <c r="B711" s="314"/>
      <c r="C711" s="314"/>
      <c r="D711" s="315"/>
      <c r="E711" s="315"/>
      <c r="F711" s="314"/>
      <c r="G711" s="314"/>
      <c r="J711" s="313"/>
    </row>
    <row r="712" ht="13.5" customHeight="1">
      <c r="A712" s="314"/>
      <c r="B712" s="314"/>
      <c r="C712" s="314"/>
      <c r="D712" s="315"/>
      <c r="E712" s="315"/>
      <c r="F712" s="314"/>
      <c r="G712" s="314"/>
      <c r="J712" s="313"/>
    </row>
    <row r="713" ht="13.5" customHeight="1">
      <c r="A713" s="314"/>
      <c r="B713" s="314"/>
      <c r="C713" s="314"/>
      <c r="D713" s="315"/>
      <c r="E713" s="315"/>
      <c r="F713" s="314"/>
      <c r="G713" s="314"/>
      <c r="J713" s="313"/>
    </row>
    <row r="714" ht="13.5" customHeight="1">
      <c r="A714" s="314"/>
      <c r="B714" s="314"/>
      <c r="C714" s="314"/>
      <c r="D714" s="315"/>
      <c r="E714" s="315"/>
      <c r="F714" s="314"/>
      <c r="G714" s="314"/>
      <c r="J714" s="313"/>
    </row>
    <row r="715" ht="13.5" customHeight="1">
      <c r="A715" s="314"/>
      <c r="B715" s="314"/>
      <c r="C715" s="314"/>
      <c r="D715" s="315"/>
      <c r="E715" s="315"/>
      <c r="F715" s="314"/>
      <c r="G715" s="314"/>
      <c r="J715" s="313"/>
    </row>
    <row r="716" ht="13.5" customHeight="1">
      <c r="A716" s="314"/>
      <c r="B716" s="314"/>
      <c r="C716" s="314"/>
      <c r="D716" s="315"/>
      <c r="E716" s="315"/>
      <c r="F716" s="314"/>
      <c r="G716" s="314"/>
      <c r="J716" s="313"/>
    </row>
    <row r="717" ht="13.5" customHeight="1">
      <c r="A717" s="314"/>
      <c r="B717" s="314"/>
      <c r="C717" s="314"/>
      <c r="D717" s="315"/>
      <c r="E717" s="315"/>
      <c r="F717" s="314"/>
      <c r="G717" s="314"/>
      <c r="J717" s="313"/>
    </row>
    <row r="718" ht="13.5" customHeight="1">
      <c r="A718" s="314"/>
      <c r="B718" s="314"/>
      <c r="C718" s="314"/>
      <c r="D718" s="315"/>
      <c r="E718" s="315"/>
      <c r="F718" s="314"/>
      <c r="G718" s="314"/>
      <c r="J718" s="313"/>
    </row>
    <row r="719" ht="13.5" customHeight="1">
      <c r="A719" s="314"/>
      <c r="B719" s="314"/>
      <c r="C719" s="314"/>
      <c r="D719" s="315"/>
      <c r="E719" s="315"/>
      <c r="F719" s="314"/>
      <c r="G719" s="314"/>
      <c r="J719" s="313"/>
    </row>
    <row r="720" ht="13.5" customHeight="1">
      <c r="A720" s="314"/>
      <c r="B720" s="314"/>
      <c r="C720" s="314"/>
      <c r="D720" s="315"/>
      <c r="E720" s="315"/>
      <c r="F720" s="314"/>
      <c r="G720" s="314"/>
      <c r="J720" s="313"/>
    </row>
    <row r="721" ht="13.5" customHeight="1">
      <c r="A721" s="314"/>
      <c r="B721" s="314"/>
      <c r="C721" s="314"/>
      <c r="D721" s="315"/>
      <c r="E721" s="315"/>
      <c r="F721" s="314"/>
      <c r="G721" s="314"/>
      <c r="J721" s="313"/>
    </row>
    <row r="722" ht="13.5" customHeight="1">
      <c r="A722" s="314"/>
      <c r="B722" s="314"/>
      <c r="C722" s="314"/>
      <c r="D722" s="315"/>
      <c r="E722" s="315"/>
      <c r="F722" s="314"/>
      <c r="G722" s="314"/>
      <c r="J722" s="313"/>
    </row>
    <row r="723" ht="13.5" customHeight="1">
      <c r="A723" s="314"/>
      <c r="B723" s="314"/>
      <c r="C723" s="314"/>
      <c r="D723" s="315"/>
      <c r="E723" s="315"/>
      <c r="F723" s="314"/>
      <c r="G723" s="314"/>
      <c r="J723" s="313"/>
    </row>
    <row r="724" ht="13.5" customHeight="1">
      <c r="A724" s="314"/>
      <c r="B724" s="314"/>
      <c r="C724" s="314"/>
      <c r="D724" s="315"/>
      <c r="E724" s="315"/>
      <c r="F724" s="314"/>
      <c r="G724" s="314"/>
      <c r="J724" s="313"/>
    </row>
    <row r="725" ht="13.5" customHeight="1">
      <c r="A725" s="314"/>
      <c r="B725" s="314"/>
      <c r="C725" s="314"/>
      <c r="D725" s="315"/>
      <c r="E725" s="315"/>
      <c r="F725" s="314"/>
      <c r="G725" s="314"/>
      <c r="J725" s="313"/>
    </row>
    <row r="726" ht="13.5" customHeight="1">
      <c r="A726" s="314"/>
      <c r="B726" s="314"/>
      <c r="C726" s="314"/>
      <c r="D726" s="315"/>
      <c r="E726" s="315"/>
      <c r="F726" s="314"/>
      <c r="G726" s="314"/>
      <c r="J726" s="313"/>
    </row>
    <row r="727" ht="13.5" customHeight="1">
      <c r="A727" s="314"/>
      <c r="B727" s="314"/>
      <c r="C727" s="314"/>
      <c r="D727" s="315"/>
      <c r="E727" s="315"/>
      <c r="F727" s="314"/>
      <c r="G727" s="314"/>
      <c r="J727" s="313"/>
    </row>
    <row r="728" ht="13.5" customHeight="1">
      <c r="A728" s="314"/>
      <c r="B728" s="314"/>
      <c r="C728" s="314"/>
      <c r="D728" s="315"/>
      <c r="E728" s="315"/>
      <c r="F728" s="314"/>
      <c r="G728" s="314"/>
      <c r="J728" s="313"/>
    </row>
    <row r="729" ht="13.5" customHeight="1">
      <c r="A729" s="314"/>
      <c r="B729" s="314"/>
      <c r="C729" s="314"/>
      <c r="D729" s="315"/>
      <c r="E729" s="315"/>
      <c r="F729" s="314"/>
      <c r="G729" s="314"/>
      <c r="J729" s="313"/>
    </row>
    <row r="730" ht="13.5" customHeight="1">
      <c r="A730" s="314"/>
      <c r="B730" s="314"/>
      <c r="C730" s="314"/>
      <c r="D730" s="315"/>
      <c r="E730" s="315"/>
      <c r="F730" s="314"/>
      <c r="G730" s="314"/>
      <c r="J730" s="313"/>
    </row>
    <row r="731" ht="13.5" customHeight="1">
      <c r="A731" s="314"/>
      <c r="B731" s="314"/>
      <c r="C731" s="314"/>
      <c r="D731" s="315"/>
      <c r="E731" s="315"/>
      <c r="F731" s="314"/>
      <c r="G731" s="314"/>
      <c r="J731" s="313"/>
    </row>
    <row r="732" ht="13.5" customHeight="1">
      <c r="A732" s="314"/>
      <c r="B732" s="314"/>
      <c r="C732" s="314"/>
      <c r="D732" s="315"/>
      <c r="E732" s="315"/>
      <c r="F732" s="314"/>
      <c r="G732" s="314"/>
      <c r="J732" s="313"/>
    </row>
    <row r="733" ht="13.5" customHeight="1">
      <c r="A733" s="314"/>
      <c r="B733" s="314"/>
      <c r="C733" s="314"/>
      <c r="D733" s="315"/>
      <c r="E733" s="315"/>
      <c r="F733" s="314"/>
      <c r="G733" s="314"/>
      <c r="J733" s="313"/>
    </row>
    <row r="734" ht="13.5" customHeight="1">
      <c r="A734" s="314"/>
      <c r="B734" s="314"/>
      <c r="C734" s="314"/>
      <c r="D734" s="315"/>
      <c r="E734" s="315"/>
      <c r="F734" s="314"/>
      <c r="G734" s="314"/>
      <c r="J734" s="313"/>
    </row>
    <row r="735" ht="13.5" customHeight="1">
      <c r="A735" s="314"/>
      <c r="B735" s="314"/>
      <c r="C735" s="314"/>
      <c r="D735" s="315"/>
      <c r="E735" s="315"/>
      <c r="F735" s="314"/>
      <c r="G735" s="314"/>
      <c r="J735" s="313"/>
    </row>
    <row r="736" ht="13.5" customHeight="1">
      <c r="A736" s="314"/>
      <c r="B736" s="314"/>
      <c r="C736" s="314"/>
      <c r="D736" s="315"/>
      <c r="E736" s="315"/>
      <c r="F736" s="314"/>
      <c r="G736" s="314"/>
      <c r="J736" s="313"/>
    </row>
    <row r="737" ht="13.5" customHeight="1">
      <c r="A737" s="314"/>
      <c r="B737" s="314"/>
      <c r="C737" s="314"/>
      <c r="D737" s="315"/>
      <c r="E737" s="315"/>
      <c r="F737" s="314"/>
      <c r="G737" s="314"/>
      <c r="J737" s="313"/>
    </row>
    <row r="738" ht="13.5" customHeight="1">
      <c r="A738" s="314"/>
      <c r="B738" s="314"/>
      <c r="C738" s="314"/>
      <c r="D738" s="315"/>
      <c r="E738" s="315"/>
      <c r="F738" s="314"/>
      <c r="G738" s="314"/>
      <c r="J738" s="313"/>
    </row>
    <row r="739" ht="13.5" customHeight="1">
      <c r="A739" s="314"/>
      <c r="B739" s="314"/>
      <c r="C739" s="314"/>
      <c r="D739" s="315"/>
      <c r="E739" s="315"/>
      <c r="F739" s="314"/>
      <c r="G739" s="314"/>
      <c r="J739" s="313"/>
    </row>
    <row r="740" ht="13.5" customHeight="1">
      <c r="A740" s="314"/>
      <c r="B740" s="314"/>
      <c r="C740" s="314"/>
      <c r="D740" s="315"/>
      <c r="E740" s="315"/>
      <c r="F740" s="314"/>
      <c r="G740" s="314"/>
      <c r="J740" s="313"/>
    </row>
    <row r="741" ht="13.5" customHeight="1">
      <c r="A741" s="314"/>
      <c r="B741" s="314"/>
      <c r="C741" s="314"/>
      <c r="D741" s="315"/>
      <c r="E741" s="315"/>
      <c r="F741" s="314"/>
      <c r="G741" s="314"/>
      <c r="J741" s="313"/>
    </row>
    <row r="742" ht="13.5" customHeight="1">
      <c r="A742" s="314"/>
      <c r="B742" s="314"/>
      <c r="C742" s="314"/>
      <c r="D742" s="315"/>
      <c r="E742" s="315"/>
      <c r="F742" s="314"/>
      <c r="G742" s="314"/>
      <c r="J742" s="313"/>
    </row>
    <row r="743" ht="13.5" customHeight="1">
      <c r="A743" s="314"/>
      <c r="B743" s="314"/>
      <c r="C743" s="314"/>
      <c r="D743" s="315"/>
      <c r="E743" s="315"/>
      <c r="F743" s="314"/>
      <c r="G743" s="314"/>
      <c r="J743" s="313"/>
    </row>
    <row r="744" ht="13.5" customHeight="1">
      <c r="A744" s="314"/>
      <c r="B744" s="314"/>
      <c r="C744" s="314"/>
      <c r="D744" s="315"/>
      <c r="E744" s="315"/>
      <c r="F744" s="314"/>
      <c r="G744" s="314"/>
      <c r="J744" s="313"/>
    </row>
    <row r="745" ht="13.5" customHeight="1">
      <c r="A745" s="314"/>
      <c r="B745" s="314"/>
      <c r="C745" s="314"/>
      <c r="D745" s="315"/>
      <c r="E745" s="315"/>
      <c r="F745" s="314"/>
      <c r="G745" s="314"/>
      <c r="J745" s="313"/>
    </row>
    <row r="746" ht="13.5" customHeight="1">
      <c r="A746" s="314"/>
      <c r="B746" s="314"/>
      <c r="C746" s="314"/>
      <c r="D746" s="315"/>
      <c r="E746" s="315"/>
      <c r="F746" s="314"/>
      <c r="G746" s="314"/>
      <c r="J746" s="313"/>
    </row>
    <row r="747" ht="13.5" customHeight="1">
      <c r="A747" s="314"/>
      <c r="B747" s="314"/>
      <c r="C747" s="314"/>
      <c r="D747" s="315"/>
      <c r="E747" s="315"/>
      <c r="F747" s="314"/>
      <c r="G747" s="314"/>
      <c r="J747" s="313"/>
    </row>
    <row r="748" ht="13.5" customHeight="1">
      <c r="A748" s="314"/>
      <c r="B748" s="314"/>
      <c r="C748" s="314"/>
      <c r="D748" s="315"/>
      <c r="E748" s="315"/>
      <c r="F748" s="314"/>
      <c r="G748" s="314"/>
      <c r="J748" s="313"/>
    </row>
    <row r="749" ht="13.5" customHeight="1">
      <c r="A749" s="314"/>
      <c r="B749" s="314"/>
      <c r="C749" s="314"/>
      <c r="D749" s="315"/>
      <c r="E749" s="315"/>
      <c r="F749" s="314"/>
      <c r="G749" s="314"/>
      <c r="J749" s="313"/>
    </row>
    <row r="750" ht="13.5" customHeight="1">
      <c r="A750" s="314"/>
      <c r="B750" s="314"/>
      <c r="C750" s="314"/>
      <c r="D750" s="315"/>
      <c r="E750" s="315"/>
      <c r="F750" s="314"/>
      <c r="G750" s="314"/>
      <c r="J750" s="313"/>
    </row>
    <row r="751" ht="13.5" customHeight="1">
      <c r="A751" s="314"/>
      <c r="B751" s="314"/>
      <c r="C751" s="314"/>
      <c r="D751" s="315"/>
      <c r="E751" s="315"/>
      <c r="F751" s="314"/>
      <c r="G751" s="314"/>
      <c r="J751" s="313"/>
    </row>
    <row r="752" ht="13.5" customHeight="1">
      <c r="A752" s="314"/>
      <c r="B752" s="314"/>
      <c r="C752" s="314"/>
      <c r="D752" s="315"/>
      <c r="E752" s="315"/>
      <c r="F752" s="314"/>
      <c r="G752" s="314"/>
      <c r="J752" s="313"/>
    </row>
    <row r="753" ht="13.5" customHeight="1">
      <c r="A753" s="314"/>
      <c r="B753" s="314"/>
      <c r="C753" s="314"/>
      <c r="D753" s="315"/>
      <c r="E753" s="315"/>
      <c r="F753" s="314"/>
      <c r="G753" s="314"/>
      <c r="J753" s="313"/>
    </row>
    <row r="754" ht="13.5" customHeight="1">
      <c r="A754" s="314"/>
      <c r="B754" s="314"/>
      <c r="C754" s="314"/>
      <c r="D754" s="315"/>
      <c r="E754" s="315"/>
      <c r="F754" s="314"/>
      <c r="G754" s="314"/>
      <c r="J754" s="313"/>
    </row>
    <row r="755" ht="13.5" customHeight="1">
      <c r="A755" s="314"/>
      <c r="B755" s="314"/>
      <c r="C755" s="314"/>
      <c r="D755" s="315"/>
      <c r="E755" s="315"/>
      <c r="F755" s="314"/>
      <c r="G755" s="314"/>
      <c r="J755" s="313"/>
    </row>
    <row r="756" ht="13.5" customHeight="1">
      <c r="A756" s="314"/>
      <c r="B756" s="314"/>
      <c r="C756" s="314"/>
      <c r="D756" s="315"/>
      <c r="E756" s="315"/>
      <c r="F756" s="314"/>
      <c r="G756" s="314"/>
      <c r="J756" s="313"/>
    </row>
    <row r="757" ht="13.5" customHeight="1">
      <c r="A757" s="314"/>
      <c r="B757" s="314"/>
      <c r="C757" s="314"/>
      <c r="D757" s="315"/>
      <c r="E757" s="315"/>
      <c r="F757" s="314"/>
      <c r="G757" s="314"/>
      <c r="J757" s="313"/>
    </row>
    <row r="758" ht="13.5" customHeight="1">
      <c r="A758" s="314"/>
      <c r="B758" s="314"/>
      <c r="C758" s="314"/>
      <c r="D758" s="315"/>
      <c r="E758" s="315"/>
      <c r="F758" s="314"/>
      <c r="G758" s="314"/>
      <c r="J758" s="313"/>
    </row>
    <row r="759" ht="13.5" customHeight="1">
      <c r="A759" s="314"/>
      <c r="B759" s="314"/>
      <c r="C759" s="314"/>
      <c r="D759" s="315"/>
      <c r="E759" s="315"/>
      <c r="F759" s="314"/>
      <c r="G759" s="314"/>
      <c r="J759" s="313"/>
    </row>
    <row r="760" ht="13.5" customHeight="1">
      <c r="A760" s="314"/>
      <c r="B760" s="314"/>
      <c r="C760" s="314"/>
      <c r="D760" s="315"/>
      <c r="E760" s="315"/>
      <c r="F760" s="314"/>
      <c r="G760" s="314"/>
      <c r="J760" s="313"/>
    </row>
    <row r="761" ht="13.5" customHeight="1">
      <c r="A761" s="314"/>
      <c r="B761" s="314"/>
      <c r="C761" s="314"/>
      <c r="D761" s="315"/>
      <c r="E761" s="315"/>
      <c r="F761" s="314"/>
      <c r="G761" s="314"/>
      <c r="J761" s="313"/>
    </row>
    <row r="762" ht="13.5" customHeight="1">
      <c r="A762" s="314"/>
      <c r="B762" s="314"/>
      <c r="C762" s="314"/>
      <c r="D762" s="315"/>
      <c r="E762" s="315"/>
      <c r="F762" s="314"/>
      <c r="G762" s="314"/>
      <c r="J762" s="313"/>
    </row>
    <row r="763" ht="13.5" customHeight="1">
      <c r="A763" s="314"/>
      <c r="B763" s="314"/>
      <c r="C763" s="314"/>
      <c r="D763" s="315"/>
      <c r="E763" s="315"/>
      <c r="F763" s="314"/>
      <c r="G763" s="314"/>
      <c r="J763" s="313"/>
    </row>
    <row r="764" ht="13.5" customHeight="1">
      <c r="A764" s="314"/>
      <c r="B764" s="314"/>
      <c r="C764" s="314"/>
      <c r="D764" s="315"/>
      <c r="E764" s="315"/>
      <c r="F764" s="314"/>
      <c r="G764" s="314"/>
      <c r="J764" s="313"/>
    </row>
    <row r="765" ht="13.5" customHeight="1">
      <c r="A765" s="314"/>
      <c r="B765" s="314"/>
      <c r="C765" s="314"/>
      <c r="D765" s="315"/>
      <c r="E765" s="315"/>
      <c r="F765" s="314"/>
      <c r="G765" s="314"/>
      <c r="J765" s="313"/>
    </row>
    <row r="766" ht="13.5" customHeight="1">
      <c r="A766" s="314"/>
      <c r="B766" s="314"/>
      <c r="C766" s="314"/>
      <c r="D766" s="315"/>
      <c r="E766" s="315"/>
      <c r="F766" s="314"/>
      <c r="G766" s="314"/>
      <c r="J766" s="313"/>
    </row>
    <row r="767" ht="13.5" customHeight="1">
      <c r="A767" s="314"/>
      <c r="B767" s="314"/>
      <c r="C767" s="314"/>
      <c r="D767" s="315"/>
      <c r="E767" s="315"/>
      <c r="F767" s="314"/>
      <c r="G767" s="314"/>
      <c r="J767" s="313"/>
    </row>
    <row r="768" ht="13.5" customHeight="1">
      <c r="A768" s="314"/>
      <c r="B768" s="314"/>
      <c r="C768" s="314"/>
      <c r="D768" s="315"/>
      <c r="E768" s="315"/>
      <c r="F768" s="314"/>
      <c r="G768" s="314"/>
      <c r="J768" s="313"/>
    </row>
    <row r="769" ht="13.5" customHeight="1">
      <c r="A769" s="314"/>
      <c r="B769" s="314"/>
      <c r="C769" s="314"/>
      <c r="D769" s="315"/>
      <c r="E769" s="315"/>
      <c r="F769" s="314"/>
      <c r="G769" s="314"/>
      <c r="J769" s="313"/>
    </row>
    <row r="770" ht="13.5" customHeight="1">
      <c r="A770" s="314"/>
      <c r="B770" s="314"/>
      <c r="C770" s="314"/>
      <c r="D770" s="315"/>
      <c r="E770" s="315"/>
      <c r="F770" s="314"/>
      <c r="G770" s="314"/>
      <c r="J770" s="313"/>
    </row>
    <row r="771" ht="13.5" customHeight="1">
      <c r="A771" s="314"/>
      <c r="B771" s="314"/>
      <c r="C771" s="314"/>
      <c r="D771" s="315"/>
      <c r="E771" s="315"/>
      <c r="F771" s="314"/>
      <c r="G771" s="314"/>
      <c r="J771" s="313"/>
    </row>
    <row r="772" ht="13.5" customHeight="1">
      <c r="A772" s="314"/>
      <c r="B772" s="314"/>
      <c r="C772" s="314"/>
      <c r="D772" s="315"/>
      <c r="E772" s="315"/>
      <c r="F772" s="314"/>
      <c r="G772" s="314"/>
      <c r="J772" s="313"/>
    </row>
    <row r="773" ht="13.5" customHeight="1">
      <c r="A773" s="314"/>
      <c r="B773" s="314"/>
      <c r="C773" s="314"/>
      <c r="D773" s="315"/>
      <c r="E773" s="315"/>
      <c r="F773" s="314"/>
      <c r="G773" s="314"/>
      <c r="J773" s="313"/>
    </row>
    <row r="774" ht="13.5" customHeight="1">
      <c r="A774" s="314"/>
      <c r="B774" s="314"/>
      <c r="C774" s="314"/>
      <c r="D774" s="315"/>
      <c r="E774" s="315"/>
      <c r="F774" s="314"/>
      <c r="G774" s="314"/>
      <c r="J774" s="313"/>
    </row>
    <row r="775" ht="13.5" customHeight="1">
      <c r="A775" s="314"/>
      <c r="B775" s="314"/>
      <c r="C775" s="314"/>
      <c r="D775" s="315"/>
      <c r="E775" s="315"/>
      <c r="F775" s="314"/>
      <c r="G775" s="314"/>
      <c r="J775" s="313"/>
    </row>
    <row r="776" ht="13.5" customHeight="1">
      <c r="A776" s="314"/>
      <c r="B776" s="314"/>
      <c r="C776" s="314"/>
      <c r="D776" s="315"/>
      <c r="E776" s="315"/>
      <c r="F776" s="314"/>
      <c r="G776" s="314"/>
      <c r="J776" s="313"/>
    </row>
    <row r="777" ht="13.5" customHeight="1">
      <c r="A777" s="314"/>
      <c r="B777" s="314"/>
      <c r="C777" s="314"/>
      <c r="D777" s="315"/>
      <c r="E777" s="315"/>
      <c r="F777" s="314"/>
      <c r="G777" s="314"/>
      <c r="J777" s="313"/>
    </row>
    <row r="778" ht="13.5" customHeight="1">
      <c r="A778" s="314"/>
      <c r="B778" s="314"/>
      <c r="C778" s="314"/>
      <c r="D778" s="315"/>
      <c r="E778" s="315"/>
      <c r="F778" s="314"/>
      <c r="G778" s="314"/>
      <c r="J778" s="313"/>
    </row>
    <row r="779" ht="13.5" customHeight="1">
      <c r="A779" s="314"/>
      <c r="B779" s="314"/>
      <c r="C779" s="314"/>
      <c r="D779" s="315"/>
      <c r="E779" s="315"/>
      <c r="F779" s="314"/>
      <c r="G779" s="314"/>
      <c r="J779" s="313"/>
    </row>
    <row r="780" ht="13.5" customHeight="1">
      <c r="A780" s="314"/>
      <c r="B780" s="314"/>
      <c r="C780" s="314"/>
      <c r="D780" s="315"/>
      <c r="E780" s="315"/>
      <c r="F780" s="314"/>
      <c r="G780" s="314"/>
      <c r="J780" s="313"/>
    </row>
    <row r="781" ht="13.5" customHeight="1">
      <c r="A781" s="314"/>
      <c r="B781" s="314"/>
      <c r="C781" s="314"/>
      <c r="D781" s="315"/>
      <c r="E781" s="315"/>
      <c r="F781" s="314"/>
      <c r="G781" s="314"/>
      <c r="J781" s="313"/>
    </row>
    <row r="782" ht="13.5" customHeight="1">
      <c r="A782" s="314"/>
      <c r="B782" s="314"/>
      <c r="C782" s="314"/>
      <c r="D782" s="315"/>
      <c r="E782" s="315"/>
      <c r="F782" s="314"/>
      <c r="G782" s="314"/>
      <c r="J782" s="313"/>
    </row>
    <row r="783" ht="13.5" customHeight="1">
      <c r="A783" s="314"/>
      <c r="B783" s="314"/>
      <c r="C783" s="314"/>
      <c r="D783" s="315"/>
      <c r="E783" s="315"/>
      <c r="F783" s="314"/>
      <c r="G783" s="314"/>
      <c r="J783" s="313"/>
    </row>
    <row r="784" ht="13.5" customHeight="1">
      <c r="A784" s="314"/>
      <c r="B784" s="314"/>
      <c r="C784" s="314"/>
      <c r="D784" s="315"/>
      <c r="E784" s="315"/>
      <c r="F784" s="314"/>
      <c r="G784" s="314"/>
      <c r="J784" s="313"/>
    </row>
    <row r="785" ht="13.5" customHeight="1">
      <c r="A785" s="314"/>
      <c r="B785" s="314"/>
      <c r="C785" s="314"/>
      <c r="D785" s="315"/>
      <c r="E785" s="315"/>
      <c r="F785" s="314"/>
      <c r="G785" s="314"/>
      <c r="J785" s="313"/>
    </row>
    <row r="786" ht="13.5" customHeight="1">
      <c r="A786" s="314"/>
      <c r="B786" s="314"/>
      <c r="C786" s="314"/>
      <c r="D786" s="315"/>
      <c r="E786" s="315"/>
      <c r="F786" s="314"/>
      <c r="G786" s="314"/>
      <c r="J786" s="313"/>
    </row>
    <row r="787" ht="13.5" customHeight="1">
      <c r="A787" s="314"/>
      <c r="B787" s="314"/>
      <c r="C787" s="314"/>
      <c r="D787" s="315"/>
      <c r="E787" s="315"/>
      <c r="F787" s="314"/>
      <c r="G787" s="314"/>
      <c r="J787" s="313"/>
    </row>
    <row r="788" ht="13.5" customHeight="1">
      <c r="A788" s="314"/>
      <c r="B788" s="314"/>
      <c r="C788" s="314"/>
      <c r="D788" s="315"/>
      <c r="E788" s="315"/>
      <c r="F788" s="314"/>
      <c r="G788" s="314"/>
      <c r="J788" s="313"/>
    </row>
    <row r="789" ht="13.5" customHeight="1">
      <c r="A789" s="314"/>
      <c r="B789" s="314"/>
      <c r="C789" s="314"/>
      <c r="D789" s="315"/>
      <c r="E789" s="315"/>
      <c r="F789" s="314"/>
      <c r="G789" s="314"/>
      <c r="J789" s="313"/>
    </row>
    <row r="790" ht="13.5" customHeight="1">
      <c r="A790" s="314"/>
      <c r="B790" s="314"/>
      <c r="C790" s="314"/>
      <c r="D790" s="315"/>
      <c r="E790" s="315"/>
      <c r="F790" s="314"/>
      <c r="G790" s="314"/>
      <c r="J790" s="313"/>
    </row>
    <row r="791" ht="13.5" customHeight="1">
      <c r="A791" s="314"/>
      <c r="B791" s="314"/>
      <c r="C791" s="314"/>
      <c r="D791" s="315"/>
      <c r="E791" s="315"/>
      <c r="F791" s="314"/>
      <c r="G791" s="314"/>
      <c r="J791" s="313"/>
    </row>
    <row r="792" ht="13.5" customHeight="1">
      <c r="A792" s="314"/>
      <c r="B792" s="314"/>
      <c r="C792" s="314"/>
      <c r="D792" s="315"/>
      <c r="E792" s="315"/>
      <c r="F792" s="314"/>
      <c r="G792" s="314"/>
      <c r="J792" s="313"/>
    </row>
    <row r="793" ht="13.5" customHeight="1">
      <c r="A793" s="314"/>
      <c r="B793" s="314"/>
      <c r="C793" s="314"/>
      <c r="D793" s="315"/>
      <c r="E793" s="315"/>
      <c r="F793" s="314"/>
      <c r="G793" s="314"/>
      <c r="J793" s="313"/>
    </row>
    <row r="794" ht="13.5" customHeight="1">
      <c r="A794" s="314"/>
      <c r="B794" s="314"/>
      <c r="C794" s="314"/>
      <c r="D794" s="315"/>
      <c r="E794" s="315"/>
      <c r="F794" s="314"/>
      <c r="G794" s="314"/>
      <c r="J794" s="313"/>
    </row>
    <row r="795" ht="13.5" customHeight="1">
      <c r="A795" s="314"/>
      <c r="B795" s="314"/>
      <c r="C795" s="314"/>
      <c r="D795" s="315"/>
      <c r="E795" s="315"/>
      <c r="F795" s="314"/>
      <c r="G795" s="314"/>
      <c r="J795" s="313"/>
    </row>
    <row r="796" ht="13.5" customHeight="1">
      <c r="A796" s="314"/>
      <c r="B796" s="314"/>
      <c r="C796" s="314"/>
      <c r="D796" s="315"/>
      <c r="E796" s="315"/>
      <c r="F796" s="314"/>
      <c r="G796" s="314"/>
      <c r="J796" s="313"/>
    </row>
    <row r="797" ht="13.5" customHeight="1">
      <c r="A797" s="314"/>
      <c r="B797" s="314"/>
      <c r="C797" s="314"/>
      <c r="D797" s="315"/>
      <c r="E797" s="315"/>
      <c r="F797" s="314"/>
      <c r="G797" s="314"/>
      <c r="J797" s="313"/>
    </row>
    <row r="798" ht="13.5" customHeight="1">
      <c r="A798" s="314"/>
      <c r="B798" s="314"/>
      <c r="C798" s="314"/>
      <c r="D798" s="315"/>
      <c r="E798" s="315"/>
      <c r="F798" s="314"/>
      <c r="G798" s="314"/>
      <c r="J798" s="313"/>
    </row>
    <row r="799" ht="13.5" customHeight="1">
      <c r="A799" s="314"/>
      <c r="B799" s="314"/>
      <c r="C799" s="314"/>
      <c r="D799" s="315"/>
      <c r="E799" s="315"/>
      <c r="F799" s="314"/>
      <c r="G799" s="314"/>
      <c r="J799" s="313"/>
    </row>
    <row r="800" ht="13.5" customHeight="1">
      <c r="A800" s="314"/>
      <c r="B800" s="314"/>
      <c r="C800" s="314"/>
      <c r="D800" s="315"/>
      <c r="E800" s="315"/>
      <c r="F800" s="314"/>
      <c r="G800" s="314"/>
      <c r="J800" s="313"/>
    </row>
    <row r="801" ht="13.5" customHeight="1">
      <c r="A801" s="314"/>
      <c r="B801" s="314"/>
      <c r="C801" s="314"/>
      <c r="D801" s="315"/>
      <c r="E801" s="315"/>
      <c r="F801" s="314"/>
      <c r="G801" s="314"/>
      <c r="J801" s="313"/>
    </row>
    <row r="802" ht="13.5" customHeight="1">
      <c r="A802" s="314"/>
      <c r="B802" s="314"/>
      <c r="C802" s="314"/>
      <c r="D802" s="315"/>
      <c r="E802" s="315"/>
      <c r="F802" s="314"/>
      <c r="G802" s="314"/>
      <c r="J802" s="313"/>
    </row>
    <row r="803" ht="13.5" customHeight="1">
      <c r="A803" s="314"/>
      <c r="B803" s="314"/>
      <c r="C803" s="314"/>
      <c r="D803" s="315"/>
      <c r="E803" s="315"/>
      <c r="F803" s="314"/>
      <c r="G803" s="314"/>
      <c r="J803" s="313"/>
    </row>
    <row r="804" ht="13.5" customHeight="1">
      <c r="A804" s="314"/>
      <c r="B804" s="314"/>
      <c r="C804" s="314"/>
      <c r="D804" s="315"/>
      <c r="E804" s="315"/>
      <c r="F804" s="314"/>
      <c r="G804" s="314"/>
      <c r="J804" s="313"/>
    </row>
    <row r="805" ht="13.5" customHeight="1">
      <c r="A805" s="314"/>
      <c r="B805" s="314"/>
      <c r="C805" s="314"/>
      <c r="D805" s="315"/>
      <c r="E805" s="315"/>
      <c r="F805" s="314"/>
      <c r="G805" s="314"/>
      <c r="J805" s="313"/>
    </row>
    <row r="806" ht="13.5" customHeight="1">
      <c r="A806" s="314"/>
      <c r="B806" s="314"/>
      <c r="C806" s="314"/>
      <c r="D806" s="315"/>
      <c r="E806" s="315"/>
      <c r="F806" s="314"/>
      <c r="G806" s="314"/>
      <c r="J806" s="313"/>
    </row>
    <row r="807" ht="13.5" customHeight="1">
      <c r="A807" s="314"/>
      <c r="B807" s="314"/>
      <c r="C807" s="314"/>
      <c r="D807" s="315"/>
      <c r="E807" s="315"/>
      <c r="F807" s="314"/>
      <c r="G807" s="314"/>
      <c r="J807" s="313"/>
    </row>
    <row r="808" ht="13.5" customHeight="1">
      <c r="A808" s="314"/>
      <c r="B808" s="314"/>
      <c r="C808" s="314"/>
      <c r="D808" s="315"/>
      <c r="E808" s="315"/>
      <c r="F808" s="314"/>
      <c r="G808" s="314"/>
      <c r="J808" s="313"/>
    </row>
    <row r="809" ht="13.5" customHeight="1">
      <c r="A809" s="314"/>
      <c r="B809" s="314"/>
      <c r="C809" s="314"/>
      <c r="D809" s="315"/>
      <c r="E809" s="315"/>
      <c r="F809" s="314"/>
      <c r="G809" s="314"/>
      <c r="J809" s="313"/>
    </row>
    <row r="810" ht="13.5" customHeight="1">
      <c r="A810" s="314"/>
      <c r="B810" s="314"/>
      <c r="C810" s="314"/>
      <c r="D810" s="315"/>
      <c r="E810" s="315"/>
      <c r="F810" s="314"/>
      <c r="G810" s="314"/>
      <c r="J810" s="313"/>
    </row>
    <row r="811" ht="13.5" customHeight="1">
      <c r="A811" s="314"/>
      <c r="B811" s="314"/>
      <c r="C811" s="314"/>
      <c r="D811" s="315"/>
      <c r="E811" s="315"/>
      <c r="F811" s="314"/>
      <c r="G811" s="314"/>
      <c r="J811" s="313"/>
    </row>
    <row r="812" ht="13.5" customHeight="1">
      <c r="A812" s="314"/>
      <c r="B812" s="314"/>
      <c r="C812" s="314"/>
      <c r="D812" s="315"/>
      <c r="E812" s="315"/>
      <c r="F812" s="314"/>
      <c r="G812" s="314"/>
      <c r="J812" s="313"/>
    </row>
    <row r="813" ht="13.5" customHeight="1">
      <c r="A813" s="314"/>
      <c r="B813" s="314"/>
      <c r="C813" s="314"/>
      <c r="D813" s="315"/>
      <c r="E813" s="315"/>
      <c r="F813" s="314"/>
      <c r="G813" s="314"/>
      <c r="J813" s="313"/>
    </row>
    <row r="814" ht="13.5" customHeight="1">
      <c r="A814" s="314"/>
      <c r="B814" s="314"/>
      <c r="C814" s="314"/>
      <c r="D814" s="315"/>
      <c r="E814" s="315"/>
      <c r="F814" s="314"/>
      <c r="G814" s="314"/>
      <c r="J814" s="313"/>
    </row>
    <row r="815" ht="13.5" customHeight="1">
      <c r="A815" s="314"/>
      <c r="B815" s="314"/>
      <c r="C815" s="314"/>
      <c r="D815" s="315"/>
      <c r="E815" s="315"/>
      <c r="F815" s="314"/>
      <c r="G815" s="314"/>
      <c r="J815" s="313"/>
    </row>
    <row r="816" ht="13.5" customHeight="1">
      <c r="A816" s="314"/>
      <c r="B816" s="314"/>
      <c r="C816" s="314"/>
      <c r="D816" s="315"/>
      <c r="E816" s="315"/>
      <c r="F816" s="314"/>
      <c r="G816" s="314"/>
      <c r="J816" s="313"/>
    </row>
    <row r="817" ht="13.5" customHeight="1">
      <c r="A817" s="314"/>
      <c r="B817" s="314"/>
      <c r="C817" s="314"/>
      <c r="D817" s="315"/>
      <c r="E817" s="315"/>
      <c r="F817" s="314"/>
      <c r="G817" s="314"/>
      <c r="J817" s="313"/>
    </row>
    <row r="818" ht="13.5" customHeight="1">
      <c r="A818" s="314"/>
      <c r="B818" s="314"/>
      <c r="C818" s="314"/>
      <c r="D818" s="315"/>
      <c r="E818" s="315"/>
      <c r="F818" s="314"/>
      <c r="G818" s="314"/>
      <c r="J818" s="313"/>
    </row>
    <row r="819" ht="13.5" customHeight="1">
      <c r="A819" s="314"/>
      <c r="B819" s="314"/>
      <c r="C819" s="314"/>
      <c r="D819" s="315"/>
      <c r="E819" s="315"/>
      <c r="F819" s="314"/>
      <c r="G819" s="314"/>
      <c r="J819" s="313"/>
    </row>
    <row r="820" ht="13.5" customHeight="1">
      <c r="A820" s="314"/>
      <c r="B820" s="314"/>
      <c r="C820" s="314"/>
      <c r="D820" s="315"/>
      <c r="E820" s="315"/>
      <c r="F820" s="314"/>
      <c r="G820" s="314"/>
      <c r="J820" s="313"/>
    </row>
    <row r="821" ht="13.5" customHeight="1">
      <c r="A821" s="314"/>
      <c r="B821" s="314"/>
      <c r="C821" s="314"/>
      <c r="D821" s="315"/>
      <c r="E821" s="315"/>
      <c r="F821" s="314"/>
      <c r="G821" s="314"/>
      <c r="J821" s="313"/>
    </row>
    <row r="822" ht="13.5" customHeight="1">
      <c r="A822" s="314"/>
      <c r="B822" s="314"/>
      <c r="C822" s="314"/>
      <c r="D822" s="315"/>
      <c r="E822" s="315"/>
      <c r="F822" s="314"/>
      <c r="G822" s="314"/>
      <c r="J822" s="313"/>
    </row>
    <row r="823" ht="13.5" customHeight="1">
      <c r="A823" s="314"/>
      <c r="B823" s="314"/>
      <c r="C823" s="314"/>
      <c r="D823" s="315"/>
      <c r="E823" s="315"/>
      <c r="F823" s="314"/>
      <c r="G823" s="314"/>
      <c r="J823" s="313"/>
    </row>
    <row r="824" ht="13.5" customHeight="1">
      <c r="A824" s="314"/>
      <c r="B824" s="314"/>
      <c r="C824" s="314"/>
      <c r="D824" s="315"/>
      <c r="E824" s="315"/>
      <c r="F824" s="314"/>
      <c r="G824" s="314"/>
      <c r="J824" s="313"/>
    </row>
    <row r="825" ht="13.5" customHeight="1">
      <c r="A825" s="314"/>
      <c r="B825" s="314"/>
      <c r="C825" s="314"/>
      <c r="D825" s="315"/>
      <c r="E825" s="315"/>
      <c r="F825" s="314"/>
      <c r="G825" s="314"/>
      <c r="J825" s="313"/>
    </row>
    <row r="826" ht="13.5" customHeight="1">
      <c r="A826" s="314"/>
      <c r="B826" s="314"/>
      <c r="C826" s="314"/>
      <c r="D826" s="315"/>
      <c r="E826" s="315"/>
      <c r="F826" s="314"/>
      <c r="G826" s="314"/>
      <c r="J826" s="313"/>
    </row>
    <row r="827" ht="13.5" customHeight="1">
      <c r="A827" s="314"/>
      <c r="B827" s="314"/>
      <c r="C827" s="314"/>
      <c r="D827" s="315"/>
      <c r="E827" s="315"/>
      <c r="F827" s="314"/>
      <c r="G827" s="314"/>
      <c r="J827" s="313"/>
    </row>
    <row r="828" ht="13.5" customHeight="1">
      <c r="A828" s="314"/>
      <c r="B828" s="314"/>
      <c r="C828" s="314"/>
      <c r="D828" s="315"/>
      <c r="E828" s="315"/>
      <c r="F828" s="314"/>
      <c r="G828" s="314"/>
      <c r="J828" s="313"/>
    </row>
    <row r="829" ht="13.5" customHeight="1">
      <c r="A829" s="314"/>
      <c r="B829" s="314"/>
      <c r="C829" s="314"/>
      <c r="D829" s="315"/>
      <c r="E829" s="315"/>
      <c r="F829" s="314"/>
      <c r="G829" s="314"/>
      <c r="J829" s="313"/>
    </row>
    <row r="830" ht="13.5" customHeight="1">
      <c r="A830" s="314"/>
      <c r="B830" s="314"/>
      <c r="C830" s="314"/>
      <c r="D830" s="315"/>
      <c r="E830" s="315"/>
      <c r="F830" s="314"/>
      <c r="G830" s="314"/>
      <c r="J830" s="313"/>
    </row>
    <row r="831" ht="13.5" customHeight="1">
      <c r="A831" s="314"/>
      <c r="B831" s="314"/>
      <c r="C831" s="314"/>
      <c r="D831" s="315"/>
      <c r="E831" s="315"/>
      <c r="F831" s="314"/>
      <c r="G831" s="314"/>
      <c r="J831" s="313"/>
    </row>
    <row r="832" ht="13.5" customHeight="1">
      <c r="A832" s="314"/>
      <c r="B832" s="314"/>
      <c r="C832" s="314"/>
      <c r="D832" s="315"/>
      <c r="E832" s="315"/>
      <c r="F832" s="314"/>
      <c r="G832" s="314"/>
      <c r="J832" s="313"/>
    </row>
    <row r="833" ht="13.5" customHeight="1">
      <c r="A833" s="314"/>
      <c r="B833" s="314"/>
      <c r="C833" s="314"/>
      <c r="D833" s="315"/>
      <c r="E833" s="315"/>
      <c r="F833" s="314"/>
      <c r="G833" s="314"/>
      <c r="J833" s="313"/>
    </row>
    <row r="834" ht="13.5" customHeight="1">
      <c r="A834" s="314"/>
      <c r="B834" s="314"/>
      <c r="C834" s="314"/>
      <c r="D834" s="315"/>
      <c r="E834" s="315"/>
      <c r="F834" s="314"/>
      <c r="G834" s="314"/>
      <c r="J834" s="313"/>
    </row>
    <row r="835" ht="13.5" customHeight="1">
      <c r="A835" s="314"/>
      <c r="B835" s="314"/>
      <c r="C835" s="314"/>
      <c r="D835" s="315"/>
      <c r="E835" s="315"/>
      <c r="F835" s="314"/>
      <c r="G835" s="314"/>
      <c r="J835" s="313"/>
    </row>
    <row r="836" ht="13.5" customHeight="1">
      <c r="A836" s="314"/>
      <c r="B836" s="314"/>
      <c r="C836" s="314"/>
      <c r="D836" s="315"/>
      <c r="E836" s="315"/>
      <c r="F836" s="314"/>
      <c r="G836" s="314"/>
      <c r="J836" s="313"/>
    </row>
    <row r="837" ht="13.5" customHeight="1">
      <c r="A837" s="314"/>
      <c r="B837" s="314"/>
      <c r="C837" s="314"/>
      <c r="D837" s="315"/>
      <c r="E837" s="315"/>
      <c r="F837" s="314"/>
      <c r="G837" s="314"/>
      <c r="J837" s="313"/>
    </row>
    <row r="838" ht="13.5" customHeight="1">
      <c r="A838" s="314"/>
      <c r="B838" s="314"/>
      <c r="C838" s="314"/>
      <c r="D838" s="315"/>
      <c r="E838" s="315"/>
      <c r="F838" s="314"/>
      <c r="G838" s="314"/>
      <c r="J838" s="313"/>
    </row>
    <row r="839" ht="13.5" customHeight="1">
      <c r="A839" s="314"/>
      <c r="B839" s="314"/>
      <c r="C839" s="314"/>
      <c r="D839" s="315"/>
      <c r="E839" s="315"/>
      <c r="F839" s="314"/>
      <c r="G839" s="314"/>
      <c r="J839" s="313"/>
    </row>
    <row r="840" ht="13.5" customHeight="1">
      <c r="A840" s="314"/>
      <c r="B840" s="314"/>
      <c r="C840" s="314"/>
      <c r="D840" s="315"/>
      <c r="E840" s="315"/>
      <c r="F840" s="314"/>
      <c r="G840" s="314"/>
      <c r="J840" s="313"/>
    </row>
    <row r="841" ht="13.5" customHeight="1">
      <c r="A841" s="314"/>
      <c r="B841" s="314"/>
      <c r="C841" s="314"/>
      <c r="D841" s="315"/>
      <c r="E841" s="315"/>
      <c r="F841" s="314"/>
      <c r="G841" s="314"/>
      <c r="J841" s="313"/>
    </row>
    <row r="842" ht="13.5" customHeight="1">
      <c r="A842" s="314"/>
      <c r="B842" s="314"/>
      <c r="C842" s="314"/>
      <c r="D842" s="315"/>
      <c r="E842" s="315"/>
      <c r="F842" s="314"/>
      <c r="G842" s="314"/>
      <c r="J842" s="313"/>
    </row>
    <row r="843" ht="13.5" customHeight="1">
      <c r="A843" s="314"/>
      <c r="B843" s="314"/>
      <c r="C843" s="314"/>
      <c r="D843" s="315"/>
      <c r="E843" s="315"/>
      <c r="F843" s="314"/>
      <c r="G843" s="314"/>
      <c r="J843" s="313"/>
    </row>
    <row r="844" ht="13.5" customHeight="1">
      <c r="A844" s="314"/>
      <c r="B844" s="314"/>
      <c r="C844" s="314"/>
      <c r="D844" s="315"/>
      <c r="E844" s="315"/>
      <c r="F844" s="314"/>
      <c r="G844" s="314"/>
      <c r="J844" s="313"/>
    </row>
    <row r="845" ht="13.5" customHeight="1">
      <c r="A845" s="314"/>
      <c r="B845" s="314"/>
      <c r="C845" s="314"/>
      <c r="D845" s="315"/>
      <c r="E845" s="315"/>
      <c r="F845" s="314"/>
      <c r="G845" s="314"/>
      <c r="J845" s="313"/>
    </row>
    <row r="846" ht="13.5" customHeight="1">
      <c r="A846" s="314"/>
      <c r="B846" s="314"/>
      <c r="C846" s="314"/>
      <c r="D846" s="315"/>
      <c r="E846" s="315"/>
      <c r="F846" s="314"/>
      <c r="G846" s="314"/>
      <c r="J846" s="313"/>
    </row>
    <row r="847" ht="13.5" customHeight="1">
      <c r="A847" s="314"/>
      <c r="B847" s="314"/>
      <c r="C847" s="314"/>
      <c r="D847" s="315"/>
      <c r="E847" s="315"/>
      <c r="F847" s="314"/>
      <c r="G847" s="314"/>
      <c r="J847" s="313"/>
    </row>
    <row r="848" ht="13.5" customHeight="1">
      <c r="A848" s="314"/>
      <c r="B848" s="314"/>
      <c r="C848" s="314"/>
      <c r="D848" s="315"/>
      <c r="E848" s="315"/>
      <c r="F848" s="314"/>
      <c r="G848" s="314"/>
      <c r="J848" s="313"/>
    </row>
    <row r="849" ht="13.5" customHeight="1">
      <c r="A849" s="314"/>
      <c r="B849" s="314"/>
      <c r="C849" s="314"/>
      <c r="D849" s="315"/>
      <c r="E849" s="315"/>
      <c r="F849" s="314"/>
      <c r="G849" s="314"/>
      <c r="J849" s="313"/>
    </row>
    <row r="850" ht="13.5" customHeight="1">
      <c r="A850" s="314"/>
      <c r="B850" s="314"/>
      <c r="C850" s="314"/>
      <c r="D850" s="315"/>
      <c r="E850" s="315"/>
      <c r="F850" s="314"/>
      <c r="G850" s="314"/>
      <c r="J850" s="313"/>
    </row>
    <row r="851" ht="13.5" customHeight="1">
      <c r="A851" s="314"/>
      <c r="B851" s="314"/>
      <c r="C851" s="314"/>
      <c r="D851" s="315"/>
      <c r="E851" s="315"/>
      <c r="F851" s="314"/>
      <c r="G851" s="314"/>
      <c r="J851" s="313"/>
    </row>
    <row r="852" ht="13.5" customHeight="1">
      <c r="A852" s="314"/>
      <c r="B852" s="314"/>
      <c r="C852" s="314"/>
      <c r="D852" s="315"/>
      <c r="E852" s="315"/>
      <c r="F852" s="314"/>
      <c r="G852" s="314"/>
      <c r="J852" s="313"/>
    </row>
    <row r="853" ht="13.5" customHeight="1">
      <c r="A853" s="314"/>
      <c r="B853" s="314"/>
      <c r="C853" s="314"/>
      <c r="D853" s="315"/>
      <c r="E853" s="315"/>
      <c r="F853" s="314"/>
      <c r="G853" s="314"/>
      <c r="J853" s="313"/>
    </row>
    <row r="854" ht="13.5" customHeight="1">
      <c r="A854" s="314"/>
      <c r="B854" s="314"/>
      <c r="C854" s="314"/>
      <c r="D854" s="315"/>
      <c r="E854" s="315"/>
      <c r="F854" s="314"/>
      <c r="G854" s="314"/>
      <c r="J854" s="313"/>
    </row>
    <row r="855" ht="13.5" customHeight="1">
      <c r="A855" s="314"/>
      <c r="B855" s="314"/>
      <c r="C855" s="314"/>
      <c r="D855" s="315"/>
      <c r="E855" s="315"/>
      <c r="F855" s="314"/>
      <c r="G855" s="314"/>
      <c r="J855" s="313"/>
    </row>
    <row r="856" ht="13.5" customHeight="1">
      <c r="A856" s="314"/>
      <c r="B856" s="314"/>
      <c r="C856" s="314"/>
      <c r="D856" s="315"/>
      <c r="E856" s="315"/>
      <c r="F856" s="314"/>
      <c r="G856" s="314"/>
      <c r="J856" s="313"/>
    </row>
    <row r="857" ht="13.5" customHeight="1">
      <c r="A857" s="314"/>
      <c r="B857" s="314"/>
      <c r="C857" s="314"/>
      <c r="D857" s="315"/>
      <c r="E857" s="315"/>
      <c r="F857" s="314"/>
      <c r="G857" s="314"/>
      <c r="J857" s="313"/>
    </row>
    <row r="858" ht="13.5" customHeight="1">
      <c r="A858" s="314"/>
      <c r="B858" s="314"/>
      <c r="C858" s="314"/>
      <c r="D858" s="315"/>
      <c r="E858" s="315"/>
      <c r="F858" s="314"/>
      <c r="G858" s="314"/>
      <c r="J858" s="313"/>
    </row>
    <row r="859" ht="13.5" customHeight="1">
      <c r="A859" s="314"/>
      <c r="B859" s="314"/>
      <c r="C859" s="314"/>
      <c r="D859" s="315"/>
      <c r="E859" s="315"/>
      <c r="F859" s="314"/>
      <c r="G859" s="314"/>
      <c r="J859" s="313"/>
    </row>
    <row r="860" ht="13.5" customHeight="1">
      <c r="A860" s="314"/>
      <c r="B860" s="314"/>
      <c r="C860" s="314"/>
      <c r="D860" s="315"/>
      <c r="E860" s="315"/>
      <c r="F860" s="314"/>
      <c r="G860" s="314"/>
      <c r="J860" s="313"/>
    </row>
    <row r="861" ht="13.5" customHeight="1">
      <c r="A861" s="314"/>
      <c r="B861" s="314"/>
      <c r="C861" s="314"/>
      <c r="D861" s="315"/>
      <c r="E861" s="315"/>
      <c r="F861" s="314"/>
      <c r="G861" s="314"/>
      <c r="J861" s="313"/>
    </row>
    <row r="862" ht="13.5" customHeight="1">
      <c r="A862" s="314"/>
      <c r="B862" s="314"/>
      <c r="C862" s="314"/>
      <c r="D862" s="315"/>
      <c r="E862" s="315"/>
      <c r="F862" s="314"/>
      <c r="G862" s="314"/>
      <c r="J862" s="313"/>
    </row>
    <row r="863" ht="13.5" customHeight="1">
      <c r="A863" s="314"/>
      <c r="B863" s="314"/>
      <c r="C863" s="314"/>
      <c r="D863" s="315"/>
      <c r="E863" s="315"/>
      <c r="F863" s="314"/>
      <c r="G863" s="314"/>
      <c r="J863" s="313"/>
    </row>
    <row r="864" ht="13.5" customHeight="1">
      <c r="A864" s="314"/>
      <c r="B864" s="314"/>
      <c r="C864" s="314"/>
      <c r="D864" s="315"/>
      <c r="E864" s="315"/>
      <c r="F864" s="314"/>
      <c r="G864" s="314"/>
      <c r="J864" s="313"/>
    </row>
    <row r="865" ht="13.5" customHeight="1">
      <c r="A865" s="314"/>
      <c r="B865" s="314"/>
      <c r="C865" s="314"/>
      <c r="D865" s="315"/>
      <c r="E865" s="315"/>
      <c r="F865" s="314"/>
      <c r="G865" s="314"/>
      <c r="J865" s="313"/>
    </row>
    <row r="866" ht="13.5" customHeight="1">
      <c r="A866" s="314"/>
      <c r="B866" s="314"/>
      <c r="C866" s="314"/>
      <c r="D866" s="315"/>
      <c r="E866" s="315"/>
      <c r="F866" s="314"/>
      <c r="G866" s="314"/>
      <c r="J866" s="313"/>
    </row>
    <row r="867" ht="13.5" customHeight="1">
      <c r="A867" s="314"/>
      <c r="B867" s="314"/>
      <c r="C867" s="314"/>
      <c r="D867" s="315"/>
      <c r="E867" s="315"/>
      <c r="F867" s="314"/>
      <c r="G867" s="314"/>
      <c r="J867" s="313"/>
    </row>
    <row r="868" ht="13.5" customHeight="1">
      <c r="A868" s="314"/>
      <c r="B868" s="314"/>
      <c r="C868" s="314"/>
      <c r="D868" s="315"/>
      <c r="E868" s="315"/>
      <c r="F868" s="314"/>
      <c r="G868" s="314"/>
      <c r="J868" s="313"/>
    </row>
    <row r="869" ht="13.5" customHeight="1">
      <c r="A869" s="314"/>
      <c r="B869" s="314"/>
      <c r="C869" s="314"/>
      <c r="D869" s="315"/>
      <c r="E869" s="315"/>
      <c r="F869" s="314"/>
      <c r="G869" s="314"/>
      <c r="J869" s="313"/>
    </row>
    <row r="870" ht="13.5" customHeight="1">
      <c r="A870" s="314"/>
      <c r="B870" s="314"/>
      <c r="C870" s="314"/>
      <c r="D870" s="315"/>
      <c r="E870" s="315"/>
      <c r="F870" s="314"/>
      <c r="G870" s="314"/>
      <c r="J870" s="313"/>
    </row>
    <row r="871" ht="13.5" customHeight="1">
      <c r="A871" s="314"/>
      <c r="B871" s="314"/>
      <c r="C871" s="314"/>
      <c r="D871" s="315"/>
      <c r="E871" s="315"/>
      <c r="F871" s="314"/>
      <c r="G871" s="314"/>
      <c r="J871" s="313"/>
    </row>
    <row r="872" ht="13.5" customHeight="1">
      <c r="A872" s="314"/>
      <c r="B872" s="314"/>
      <c r="C872" s="314"/>
      <c r="D872" s="315"/>
      <c r="E872" s="315"/>
      <c r="F872" s="314"/>
      <c r="G872" s="314"/>
      <c r="J872" s="313"/>
    </row>
    <row r="873" ht="13.5" customHeight="1">
      <c r="A873" s="314"/>
      <c r="B873" s="314"/>
      <c r="C873" s="314"/>
      <c r="D873" s="315"/>
      <c r="E873" s="315"/>
      <c r="F873" s="314"/>
      <c r="G873" s="314"/>
      <c r="J873" s="313"/>
    </row>
    <row r="874" ht="13.5" customHeight="1">
      <c r="A874" s="314"/>
      <c r="B874" s="314"/>
      <c r="C874" s="314"/>
      <c r="D874" s="315"/>
      <c r="E874" s="315"/>
      <c r="F874" s="314"/>
      <c r="G874" s="314"/>
      <c r="J874" s="313"/>
    </row>
    <row r="875" ht="13.5" customHeight="1">
      <c r="A875" s="314"/>
      <c r="B875" s="314"/>
      <c r="C875" s="314"/>
      <c r="D875" s="315"/>
      <c r="E875" s="315"/>
      <c r="F875" s="314"/>
      <c r="G875" s="314"/>
      <c r="J875" s="313"/>
    </row>
    <row r="876" ht="13.5" customHeight="1">
      <c r="A876" s="314"/>
      <c r="B876" s="314"/>
      <c r="C876" s="314"/>
      <c r="D876" s="315"/>
      <c r="E876" s="315"/>
      <c r="F876" s="314"/>
      <c r="G876" s="314"/>
      <c r="J876" s="313"/>
    </row>
    <row r="877" ht="13.5" customHeight="1">
      <c r="A877" s="314"/>
      <c r="B877" s="314"/>
      <c r="C877" s="314"/>
      <c r="D877" s="315"/>
      <c r="E877" s="315"/>
      <c r="F877" s="314"/>
      <c r="G877" s="314"/>
      <c r="J877" s="313"/>
    </row>
    <row r="878" ht="13.5" customHeight="1">
      <c r="A878" s="314"/>
      <c r="B878" s="314"/>
      <c r="C878" s="314"/>
      <c r="D878" s="315"/>
      <c r="E878" s="315"/>
      <c r="F878" s="314"/>
      <c r="G878" s="314"/>
      <c r="J878" s="313"/>
    </row>
    <row r="879" ht="13.5" customHeight="1">
      <c r="A879" s="314"/>
      <c r="B879" s="314"/>
      <c r="C879" s="314"/>
      <c r="D879" s="315"/>
      <c r="E879" s="315"/>
      <c r="F879" s="314"/>
      <c r="G879" s="314"/>
      <c r="J879" s="313"/>
    </row>
    <row r="880" ht="13.5" customHeight="1">
      <c r="A880" s="314"/>
      <c r="B880" s="314"/>
      <c r="C880" s="314"/>
      <c r="D880" s="315"/>
      <c r="E880" s="315"/>
      <c r="F880" s="314"/>
      <c r="G880" s="314"/>
      <c r="J880" s="313"/>
    </row>
    <row r="881" ht="13.5" customHeight="1">
      <c r="A881" s="314"/>
      <c r="B881" s="314"/>
      <c r="C881" s="314"/>
      <c r="D881" s="315"/>
      <c r="E881" s="315"/>
      <c r="F881" s="314"/>
      <c r="G881" s="314"/>
      <c r="J881" s="313"/>
    </row>
    <row r="882" ht="13.5" customHeight="1">
      <c r="A882" s="314"/>
      <c r="B882" s="314"/>
      <c r="C882" s="314"/>
      <c r="D882" s="315"/>
      <c r="E882" s="315"/>
      <c r="F882" s="314"/>
      <c r="G882" s="314"/>
      <c r="J882" s="313"/>
    </row>
    <row r="883" ht="13.5" customHeight="1">
      <c r="A883" s="314"/>
      <c r="B883" s="314"/>
      <c r="C883" s="314"/>
      <c r="D883" s="315"/>
      <c r="E883" s="315"/>
      <c r="F883" s="314"/>
      <c r="G883" s="314"/>
      <c r="J883" s="313"/>
    </row>
    <row r="884" ht="13.5" customHeight="1">
      <c r="A884" s="314"/>
      <c r="B884" s="314"/>
      <c r="C884" s="314"/>
      <c r="D884" s="315"/>
      <c r="E884" s="315"/>
      <c r="F884" s="314"/>
      <c r="G884" s="314"/>
      <c r="J884" s="313"/>
    </row>
    <row r="885" ht="13.5" customHeight="1">
      <c r="A885" s="314"/>
      <c r="B885" s="314"/>
      <c r="C885" s="314"/>
      <c r="D885" s="315"/>
      <c r="E885" s="315"/>
      <c r="F885" s="314"/>
      <c r="G885" s="314"/>
      <c r="J885" s="313"/>
    </row>
    <row r="886" ht="13.5" customHeight="1">
      <c r="A886" s="314"/>
      <c r="B886" s="314"/>
      <c r="C886" s="314"/>
      <c r="D886" s="315"/>
      <c r="E886" s="315"/>
      <c r="F886" s="314"/>
      <c r="G886" s="314"/>
      <c r="J886" s="313"/>
    </row>
    <row r="887" ht="13.5" customHeight="1">
      <c r="A887" s="314"/>
      <c r="B887" s="314"/>
      <c r="C887" s="314"/>
      <c r="D887" s="315"/>
      <c r="E887" s="315"/>
      <c r="F887" s="314"/>
      <c r="G887" s="314"/>
      <c r="J887" s="313"/>
    </row>
    <row r="888" ht="13.5" customHeight="1">
      <c r="A888" s="314"/>
      <c r="B888" s="314"/>
      <c r="C888" s="314"/>
      <c r="D888" s="315"/>
      <c r="E888" s="315"/>
      <c r="F888" s="314"/>
      <c r="G888" s="314"/>
      <c r="J888" s="313"/>
    </row>
    <row r="889" ht="13.5" customHeight="1">
      <c r="A889" s="314"/>
      <c r="B889" s="314"/>
      <c r="C889" s="314"/>
      <c r="D889" s="315"/>
      <c r="E889" s="315"/>
      <c r="F889" s="314"/>
      <c r="G889" s="314"/>
      <c r="J889" s="313"/>
    </row>
    <row r="890" ht="13.5" customHeight="1">
      <c r="A890" s="314"/>
      <c r="B890" s="314"/>
      <c r="C890" s="314"/>
      <c r="D890" s="315"/>
      <c r="E890" s="315"/>
      <c r="F890" s="314"/>
      <c r="G890" s="314"/>
      <c r="J890" s="313"/>
    </row>
    <row r="891" ht="13.5" customHeight="1">
      <c r="A891" s="314"/>
      <c r="B891" s="314"/>
      <c r="C891" s="314"/>
      <c r="D891" s="315"/>
      <c r="E891" s="315"/>
      <c r="F891" s="314"/>
      <c r="G891" s="314"/>
      <c r="J891" s="313"/>
    </row>
    <row r="892" ht="13.5" customHeight="1">
      <c r="A892" s="314"/>
      <c r="B892" s="314"/>
      <c r="C892" s="314"/>
      <c r="D892" s="315"/>
      <c r="E892" s="315"/>
      <c r="F892" s="314"/>
      <c r="G892" s="314"/>
      <c r="J892" s="313"/>
    </row>
    <row r="893" ht="13.5" customHeight="1">
      <c r="A893" s="314"/>
      <c r="B893" s="314"/>
      <c r="C893" s="314"/>
      <c r="D893" s="315"/>
      <c r="E893" s="315"/>
      <c r="F893" s="314"/>
      <c r="G893" s="314"/>
      <c r="J893" s="313"/>
    </row>
    <row r="894" ht="13.5" customHeight="1">
      <c r="A894" s="314"/>
      <c r="B894" s="314"/>
      <c r="C894" s="314"/>
      <c r="D894" s="315"/>
      <c r="E894" s="315"/>
      <c r="F894" s="314"/>
      <c r="G894" s="314"/>
      <c r="J894" s="313"/>
    </row>
    <row r="895" ht="13.5" customHeight="1">
      <c r="A895" s="314"/>
      <c r="B895" s="314"/>
      <c r="C895" s="314"/>
      <c r="D895" s="315"/>
      <c r="E895" s="315"/>
      <c r="F895" s="314"/>
      <c r="G895" s="314"/>
      <c r="J895" s="313"/>
    </row>
    <row r="896" ht="13.5" customHeight="1">
      <c r="A896" s="314"/>
      <c r="B896" s="314"/>
      <c r="C896" s="314"/>
      <c r="D896" s="315"/>
      <c r="E896" s="315"/>
      <c r="F896" s="314"/>
      <c r="G896" s="314"/>
      <c r="J896" s="313"/>
    </row>
    <row r="897" ht="13.5" customHeight="1">
      <c r="A897" s="314"/>
      <c r="B897" s="314"/>
      <c r="C897" s="314"/>
      <c r="D897" s="315"/>
      <c r="E897" s="315"/>
      <c r="F897" s="314"/>
      <c r="G897" s="314"/>
      <c r="J897" s="313"/>
    </row>
    <row r="898" ht="13.5" customHeight="1">
      <c r="A898" s="314"/>
      <c r="B898" s="314"/>
      <c r="C898" s="314"/>
      <c r="D898" s="315"/>
      <c r="E898" s="315"/>
      <c r="F898" s="314"/>
      <c r="G898" s="314"/>
      <c r="J898" s="313"/>
    </row>
    <row r="899" ht="13.5" customHeight="1">
      <c r="A899" s="314"/>
      <c r="B899" s="314"/>
      <c r="C899" s="314"/>
      <c r="D899" s="315"/>
      <c r="E899" s="315"/>
      <c r="F899" s="314"/>
      <c r="G899" s="314"/>
      <c r="J899" s="313"/>
    </row>
    <row r="900" ht="13.5" customHeight="1">
      <c r="A900" s="314"/>
      <c r="B900" s="314"/>
      <c r="C900" s="314"/>
      <c r="D900" s="315"/>
      <c r="E900" s="315"/>
      <c r="F900" s="314"/>
      <c r="G900" s="314"/>
      <c r="J900" s="313"/>
    </row>
    <row r="901" ht="13.5" customHeight="1">
      <c r="A901" s="314"/>
      <c r="B901" s="314"/>
      <c r="C901" s="314"/>
      <c r="D901" s="315"/>
      <c r="E901" s="315"/>
      <c r="F901" s="314"/>
      <c r="G901" s="314"/>
      <c r="J901" s="313"/>
    </row>
    <row r="902" ht="13.5" customHeight="1">
      <c r="A902" s="314"/>
      <c r="B902" s="314"/>
      <c r="C902" s="314"/>
      <c r="D902" s="315"/>
      <c r="E902" s="315"/>
      <c r="F902" s="314"/>
      <c r="G902" s="314"/>
      <c r="J902" s="313"/>
    </row>
    <row r="903" ht="13.5" customHeight="1">
      <c r="A903" s="314"/>
      <c r="B903" s="314"/>
      <c r="C903" s="314"/>
      <c r="D903" s="315"/>
      <c r="E903" s="315"/>
      <c r="F903" s="314"/>
      <c r="G903" s="314"/>
      <c r="J903" s="313"/>
    </row>
    <row r="904" ht="13.5" customHeight="1">
      <c r="A904" s="314"/>
      <c r="B904" s="314"/>
      <c r="C904" s="314"/>
      <c r="D904" s="315"/>
      <c r="E904" s="315"/>
      <c r="F904" s="314"/>
      <c r="G904" s="314"/>
      <c r="J904" s="313"/>
    </row>
    <row r="905" ht="13.5" customHeight="1">
      <c r="A905" s="314"/>
      <c r="B905" s="314"/>
      <c r="C905" s="314"/>
      <c r="D905" s="315"/>
      <c r="E905" s="315"/>
      <c r="F905" s="314"/>
      <c r="G905" s="314"/>
      <c r="J905" s="313"/>
    </row>
    <row r="906" ht="13.5" customHeight="1">
      <c r="A906" s="314"/>
      <c r="B906" s="314"/>
      <c r="C906" s="314"/>
      <c r="D906" s="315"/>
      <c r="E906" s="315"/>
      <c r="F906" s="314"/>
      <c r="G906" s="314"/>
      <c r="J906" s="313"/>
    </row>
    <row r="907" ht="13.5" customHeight="1">
      <c r="A907" s="314"/>
      <c r="B907" s="314"/>
      <c r="C907" s="314"/>
      <c r="D907" s="315"/>
      <c r="E907" s="315"/>
      <c r="F907" s="314"/>
      <c r="G907" s="314"/>
      <c r="J907" s="313"/>
    </row>
    <row r="908" ht="13.5" customHeight="1">
      <c r="A908" s="314"/>
      <c r="B908" s="314"/>
      <c r="C908" s="314"/>
      <c r="D908" s="315"/>
      <c r="E908" s="315"/>
      <c r="F908" s="314"/>
      <c r="G908" s="314"/>
      <c r="J908" s="313"/>
    </row>
    <row r="909" ht="13.5" customHeight="1">
      <c r="A909" s="314"/>
      <c r="B909" s="314"/>
      <c r="C909" s="314"/>
      <c r="D909" s="315"/>
      <c r="E909" s="315"/>
      <c r="F909" s="314"/>
      <c r="G909" s="314"/>
      <c r="J909" s="313"/>
    </row>
    <row r="910" ht="13.5" customHeight="1">
      <c r="A910" s="314"/>
      <c r="B910" s="314"/>
      <c r="C910" s="314"/>
      <c r="D910" s="315"/>
      <c r="E910" s="315"/>
      <c r="F910" s="314"/>
      <c r="G910" s="314"/>
      <c r="J910" s="313"/>
    </row>
    <row r="911" ht="13.5" customHeight="1">
      <c r="A911" s="314"/>
      <c r="B911" s="314"/>
      <c r="C911" s="314"/>
      <c r="D911" s="315"/>
      <c r="E911" s="315"/>
      <c r="F911" s="314"/>
      <c r="G911" s="314"/>
      <c r="J911" s="313"/>
    </row>
    <row r="912" ht="13.5" customHeight="1">
      <c r="A912" s="314"/>
      <c r="B912" s="314"/>
      <c r="C912" s="314"/>
      <c r="D912" s="315"/>
      <c r="E912" s="315"/>
      <c r="F912" s="314"/>
      <c r="G912" s="314"/>
      <c r="J912" s="313"/>
    </row>
    <row r="913" ht="13.5" customHeight="1">
      <c r="A913" s="314"/>
      <c r="B913" s="314"/>
      <c r="C913" s="314"/>
      <c r="D913" s="315"/>
      <c r="E913" s="315"/>
      <c r="F913" s="314"/>
      <c r="G913" s="314"/>
      <c r="J913" s="313"/>
    </row>
    <row r="914" ht="13.5" customHeight="1">
      <c r="A914" s="314"/>
      <c r="B914" s="314"/>
      <c r="C914" s="314"/>
      <c r="D914" s="315"/>
      <c r="E914" s="315"/>
      <c r="F914" s="314"/>
      <c r="G914" s="314"/>
      <c r="J914" s="313"/>
    </row>
    <row r="915" ht="13.5" customHeight="1">
      <c r="A915" s="314"/>
      <c r="B915" s="314"/>
      <c r="C915" s="314"/>
      <c r="D915" s="315"/>
      <c r="E915" s="315"/>
      <c r="F915" s="314"/>
      <c r="G915" s="314"/>
      <c r="J915" s="313"/>
    </row>
    <row r="916" ht="13.5" customHeight="1">
      <c r="A916" s="314"/>
      <c r="B916" s="314"/>
      <c r="C916" s="314"/>
      <c r="D916" s="315"/>
      <c r="E916" s="315"/>
      <c r="F916" s="314"/>
      <c r="G916" s="314"/>
      <c r="J916" s="313"/>
    </row>
    <row r="917" ht="13.5" customHeight="1">
      <c r="A917" s="314"/>
      <c r="B917" s="314"/>
      <c r="C917" s="314"/>
      <c r="D917" s="315"/>
      <c r="E917" s="315"/>
      <c r="F917" s="314"/>
      <c r="G917" s="314"/>
      <c r="J917" s="313"/>
    </row>
    <row r="918" ht="13.5" customHeight="1">
      <c r="A918" s="314"/>
      <c r="B918" s="314"/>
      <c r="C918" s="314"/>
      <c r="D918" s="315"/>
      <c r="E918" s="315"/>
      <c r="F918" s="314"/>
      <c r="G918" s="314"/>
      <c r="J918" s="313"/>
    </row>
    <row r="919" ht="13.5" customHeight="1">
      <c r="A919" s="314"/>
      <c r="B919" s="314"/>
      <c r="C919" s="314"/>
      <c r="D919" s="315"/>
      <c r="E919" s="315"/>
      <c r="F919" s="314"/>
      <c r="G919" s="314"/>
      <c r="J919" s="313"/>
    </row>
    <row r="920" ht="13.5" customHeight="1">
      <c r="A920" s="314"/>
      <c r="B920" s="314"/>
      <c r="C920" s="314"/>
      <c r="D920" s="315"/>
      <c r="E920" s="315"/>
      <c r="F920" s="314"/>
      <c r="G920" s="314"/>
      <c r="J920" s="313"/>
    </row>
    <row r="921" ht="13.5" customHeight="1">
      <c r="A921" s="314"/>
      <c r="B921" s="314"/>
      <c r="C921" s="314"/>
      <c r="D921" s="315"/>
      <c r="E921" s="315"/>
      <c r="F921" s="314"/>
      <c r="G921" s="314"/>
      <c r="J921" s="313"/>
    </row>
    <row r="922" ht="13.5" customHeight="1">
      <c r="A922" s="314"/>
      <c r="B922" s="314"/>
      <c r="C922" s="314"/>
      <c r="D922" s="315"/>
      <c r="E922" s="315"/>
      <c r="F922" s="314"/>
      <c r="G922" s="314"/>
      <c r="J922" s="313"/>
    </row>
    <row r="923" ht="13.5" customHeight="1">
      <c r="A923" s="314"/>
      <c r="B923" s="314"/>
      <c r="C923" s="314"/>
      <c r="D923" s="315"/>
      <c r="E923" s="315"/>
      <c r="F923" s="314"/>
      <c r="G923" s="314"/>
      <c r="J923" s="313"/>
    </row>
    <row r="924" ht="13.5" customHeight="1">
      <c r="A924" s="314"/>
      <c r="B924" s="314"/>
      <c r="C924" s="314"/>
      <c r="D924" s="315"/>
      <c r="E924" s="315"/>
      <c r="F924" s="314"/>
      <c r="G924" s="314"/>
      <c r="J924" s="313"/>
    </row>
    <row r="925" ht="13.5" customHeight="1">
      <c r="A925" s="314"/>
      <c r="B925" s="314"/>
      <c r="C925" s="314"/>
      <c r="D925" s="315"/>
      <c r="E925" s="315"/>
      <c r="F925" s="314"/>
      <c r="G925" s="314"/>
      <c r="J925" s="313"/>
    </row>
    <row r="926" ht="13.5" customHeight="1">
      <c r="A926" s="314"/>
      <c r="B926" s="314"/>
      <c r="C926" s="314"/>
      <c r="D926" s="315"/>
      <c r="E926" s="315"/>
      <c r="F926" s="314"/>
      <c r="G926" s="314"/>
      <c r="J926" s="313"/>
    </row>
    <row r="927" ht="13.5" customHeight="1">
      <c r="A927" s="314"/>
      <c r="B927" s="314"/>
      <c r="C927" s="314"/>
      <c r="D927" s="315"/>
      <c r="E927" s="315"/>
      <c r="F927" s="314"/>
      <c r="G927" s="314"/>
      <c r="J927" s="313"/>
    </row>
    <row r="928" ht="13.5" customHeight="1">
      <c r="A928" s="314"/>
      <c r="B928" s="314"/>
      <c r="C928" s="314"/>
      <c r="D928" s="315"/>
      <c r="E928" s="315"/>
      <c r="F928" s="314"/>
      <c r="G928" s="314"/>
      <c r="J928" s="313"/>
    </row>
    <row r="929" ht="13.5" customHeight="1">
      <c r="A929" s="314"/>
      <c r="B929" s="314"/>
      <c r="C929" s="314"/>
      <c r="D929" s="315"/>
      <c r="E929" s="315"/>
      <c r="F929" s="314"/>
      <c r="G929" s="314"/>
      <c r="J929" s="313"/>
    </row>
    <row r="930" ht="13.5" customHeight="1">
      <c r="A930" s="314"/>
      <c r="B930" s="314"/>
      <c r="C930" s="314"/>
      <c r="D930" s="315"/>
      <c r="E930" s="315"/>
      <c r="F930" s="314"/>
      <c r="G930" s="314"/>
      <c r="J930" s="313"/>
    </row>
    <row r="931" ht="13.5" customHeight="1">
      <c r="A931" s="314"/>
      <c r="B931" s="314"/>
      <c r="C931" s="314"/>
      <c r="D931" s="315"/>
      <c r="E931" s="315"/>
      <c r="F931" s="314"/>
      <c r="G931" s="314"/>
      <c r="J931" s="313"/>
    </row>
    <row r="932" ht="13.5" customHeight="1">
      <c r="A932" s="314"/>
      <c r="B932" s="314"/>
      <c r="C932" s="314"/>
      <c r="D932" s="315"/>
      <c r="E932" s="315"/>
      <c r="F932" s="314"/>
      <c r="G932" s="314"/>
      <c r="J932" s="313"/>
    </row>
    <row r="933" ht="13.5" customHeight="1">
      <c r="A933" s="314"/>
      <c r="B933" s="314"/>
      <c r="C933" s="314"/>
      <c r="D933" s="315"/>
      <c r="E933" s="315"/>
      <c r="F933" s="314"/>
      <c r="G933" s="314"/>
      <c r="J933" s="313"/>
    </row>
    <row r="934" ht="13.5" customHeight="1">
      <c r="A934" s="314"/>
      <c r="B934" s="314"/>
      <c r="C934" s="314"/>
      <c r="D934" s="315"/>
      <c r="E934" s="315"/>
      <c r="F934" s="314"/>
      <c r="G934" s="314"/>
      <c r="J934" s="313"/>
    </row>
    <row r="935" ht="13.5" customHeight="1">
      <c r="A935" s="314"/>
      <c r="B935" s="314"/>
      <c r="C935" s="314"/>
      <c r="D935" s="315"/>
      <c r="E935" s="315"/>
      <c r="F935" s="314"/>
      <c r="G935" s="314"/>
      <c r="J935" s="313"/>
    </row>
    <row r="936" ht="13.5" customHeight="1">
      <c r="A936" s="314"/>
      <c r="B936" s="314"/>
      <c r="C936" s="314"/>
      <c r="D936" s="315"/>
      <c r="E936" s="315"/>
      <c r="F936" s="314"/>
      <c r="G936" s="314"/>
      <c r="J936" s="313"/>
    </row>
    <row r="937" ht="13.5" customHeight="1">
      <c r="A937" s="314"/>
      <c r="B937" s="314"/>
      <c r="C937" s="314"/>
      <c r="D937" s="315"/>
      <c r="E937" s="315"/>
      <c r="F937" s="314"/>
      <c r="G937" s="314"/>
      <c r="J937" s="313"/>
    </row>
    <row r="938" ht="13.5" customHeight="1">
      <c r="A938" s="314"/>
      <c r="B938" s="314"/>
      <c r="C938" s="314"/>
      <c r="D938" s="315"/>
      <c r="E938" s="315"/>
      <c r="F938" s="314"/>
      <c r="G938" s="314"/>
      <c r="J938" s="313"/>
    </row>
    <row r="939" ht="13.5" customHeight="1">
      <c r="A939" s="314"/>
      <c r="B939" s="314"/>
      <c r="C939" s="314"/>
      <c r="D939" s="315"/>
      <c r="E939" s="315"/>
      <c r="F939" s="314"/>
      <c r="G939" s="314"/>
      <c r="J939" s="313"/>
    </row>
    <row r="940" ht="13.5" customHeight="1">
      <c r="A940" s="314"/>
      <c r="B940" s="314"/>
      <c r="C940" s="314"/>
      <c r="D940" s="315"/>
      <c r="E940" s="315"/>
      <c r="F940" s="314"/>
      <c r="G940" s="314"/>
      <c r="J940" s="313"/>
    </row>
    <row r="941" ht="13.5" customHeight="1">
      <c r="A941" s="314"/>
      <c r="B941" s="314"/>
      <c r="C941" s="314"/>
      <c r="D941" s="315"/>
      <c r="E941" s="315"/>
      <c r="F941" s="314"/>
      <c r="G941" s="314"/>
      <c r="J941" s="313"/>
    </row>
    <row r="942" ht="13.5" customHeight="1">
      <c r="A942" s="314"/>
      <c r="B942" s="314"/>
      <c r="C942" s="314"/>
      <c r="D942" s="315"/>
      <c r="E942" s="315"/>
      <c r="F942" s="314"/>
      <c r="G942" s="314"/>
      <c r="J942" s="313"/>
    </row>
    <row r="943" ht="13.5" customHeight="1">
      <c r="A943" s="314"/>
      <c r="B943" s="314"/>
      <c r="C943" s="314"/>
      <c r="D943" s="315"/>
      <c r="E943" s="315"/>
      <c r="F943" s="314"/>
      <c r="G943" s="314"/>
      <c r="J943" s="313"/>
    </row>
    <row r="944" ht="13.5" customHeight="1">
      <c r="A944" s="314"/>
      <c r="B944" s="314"/>
      <c r="C944" s="314"/>
      <c r="D944" s="315"/>
      <c r="E944" s="315"/>
      <c r="F944" s="314"/>
      <c r="G944" s="314"/>
      <c r="J944" s="313"/>
    </row>
    <row r="945" ht="13.5" customHeight="1">
      <c r="A945" s="314"/>
      <c r="B945" s="314"/>
      <c r="C945" s="314"/>
      <c r="D945" s="315"/>
      <c r="E945" s="315"/>
      <c r="F945" s="314"/>
      <c r="G945" s="314"/>
      <c r="J945" s="313"/>
    </row>
    <row r="946" ht="13.5" customHeight="1">
      <c r="A946" s="314"/>
      <c r="B946" s="314"/>
      <c r="C946" s="314"/>
      <c r="D946" s="315"/>
      <c r="E946" s="315"/>
      <c r="F946" s="314"/>
      <c r="G946" s="314"/>
      <c r="J946" s="313"/>
    </row>
    <row r="947" ht="13.5" customHeight="1">
      <c r="A947" s="314"/>
      <c r="B947" s="314"/>
      <c r="C947" s="314"/>
      <c r="D947" s="315"/>
      <c r="E947" s="315"/>
      <c r="F947" s="314"/>
      <c r="G947" s="314"/>
      <c r="J947" s="313"/>
    </row>
    <row r="948" ht="13.5" customHeight="1">
      <c r="A948" s="314"/>
      <c r="B948" s="314"/>
      <c r="C948" s="314"/>
      <c r="D948" s="315"/>
      <c r="E948" s="315"/>
      <c r="F948" s="314"/>
      <c r="G948" s="314"/>
      <c r="J948" s="313"/>
    </row>
    <row r="949" ht="13.5" customHeight="1">
      <c r="A949" s="314"/>
      <c r="B949" s="314"/>
      <c r="C949" s="314"/>
      <c r="D949" s="315"/>
      <c r="E949" s="315"/>
      <c r="F949" s="314"/>
      <c r="G949" s="314"/>
      <c r="J949" s="313"/>
    </row>
    <row r="950" ht="13.5" customHeight="1">
      <c r="A950" s="314"/>
      <c r="B950" s="314"/>
      <c r="C950" s="314"/>
      <c r="D950" s="315"/>
      <c r="E950" s="315"/>
      <c r="F950" s="314"/>
      <c r="G950" s="314"/>
      <c r="J950" s="313"/>
    </row>
    <row r="951" ht="13.5" customHeight="1">
      <c r="A951" s="314"/>
      <c r="B951" s="314"/>
      <c r="C951" s="314"/>
      <c r="D951" s="315"/>
      <c r="E951" s="315"/>
      <c r="F951" s="314"/>
      <c r="G951" s="314"/>
      <c r="J951" s="313"/>
    </row>
    <row r="952" ht="13.5" customHeight="1">
      <c r="A952" s="314"/>
      <c r="B952" s="314"/>
      <c r="C952" s="314"/>
      <c r="D952" s="315"/>
      <c r="E952" s="315"/>
      <c r="F952" s="314"/>
      <c r="G952" s="314"/>
      <c r="J952" s="313"/>
    </row>
    <row r="953" ht="13.5" customHeight="1">
      <c r="A953" s="314"/>
      <c r="B953" s="314"/>
      <c r="C953" s="314"/>
      <c r="D953" s="315"/>
      <c r="E953" s="315"/>
      <c r="F953" s="314"/>
      <c r="G953" s="314"/>
      <c r="J953" s="313"/>
    </row>
    <row r="954" ht="13.5" customHeight="1">
      <c r="A954" s="314"/>
      <c r="B954" s="314"/>
      <c r="C954" s="314"/>
      <c r="D954" s="315"/>
      <c r="E954" s="315"/>
      <c r="F954" s="314"/>
      <c r="G954" s="314"/>
      <c r="J954" s="313"/>
    </row>
    <row r="955" ht="13.5" customHeight="1">
      <c r="A955" s="314"/>
      <c r="B955" s="314"/>
      <c r="C955" s="314"/>
      <c r="D955" s="315"/>
      <c r="E955" s="315"/>
      <c r="F955" s="314"/>
      <c r="G955" s="314"/>
      <c r="J955" s="313"/>
    </row>
    <row r="956" ht="13.5" customHeight="1">
      <c r="A956" s="314"/>
      <c r="B956" s="314"/>
      <c r="C956" s="314"/>
      <c r="D956" s="315"/>
      <c r="E956" s="315"/>
      <c r="F956" s="314"/>
      <c r="G956" s="314"/>
      <c r="J956" s="313"/>
    </row>
    <row r="957" ht="13.5" customHeight="1">
      <c r="A957" s="314"/>
      <c r="B957" s="314"/>
      <c r="C957" s="314"/>
      <c r="D957" s="315"/>
      <c r="E957" s="315"/>
      <c r="F957" s="314"/>
      <c r="G957" s="314"/>
      <c r="J957" s="313"/>
    </row>
    <row r="958" ht="13.5" customHeight="1">
      <c r="A958" s="314"/>
      <c r="B958" s="314"/>
      <c r="C958" s="314"/>
      <c r="D958" s="315"/>
      <c r="E958" s="315"/>
      <c r="F958" s="314"/>
      <c r="G958" s="314"/>
      <c r="J958" s="313"/>
    </row>
    <row r="959" ht="13.5" customHeight="1">
      <c r="A959" s="314"/>
      <c r="B959" s="314"/>
      <c r="C959" s="314"/>
      <c r="D959" s="315"/>
      <c r="E959" s="315"/>
      <c r="F959" s="314"/>
      <c r="G959" s="314"/>
      <c r="J959" s="313"/>
    </row>
    <row r="960" ht="13.5" customHeight="1">
      <c r="A960" s="314"/>
      <c r="B960" s="314"/>
      <c r="C960" s="314"/>
      <c r="D960" s="315"/>
      <c r="E960" s="315"/>
      <c r="F960" s="314"/>
      <c r="G960" s="314"/>
      <c r="J960" s="313"/>
    </row>
    <row r="961" ht="13.5" customHeight="1">
      <c r="A961" s="314"/>
      <c r="B961" s="314"/>
      <c r="C961" s="314"/>
      <c r="D961" s="315"/>
      <c r="E961" s="315"/>
      <c r="F961" s="314"/>
      <c r="G961" s="314"/>
      <c r="J961" s="313"/>
    </row>
    <row r="962" ht="13.5" customHeight="1">
      <c r="A962" s="314"/>
      <c r="B962" s="314"/>
      <c r="C962" s="314"/>
      <c r="D962" s="315"/>
      <c r="E962" s="315"/>
      <c r="F962" s="314"/>
      <c r="G962" s="314"/>
      <c r="J962" s="313"/>
    </row>
    <row r="963" ht="13.5" customHeight="1">
      <c r="A963" s="314"/>
      <c r="B963" s="314"/>
      <c r="C963" s="314"/>
      <c r="D963" s="315"/>
      <c r="E963" s="315"/>
      <c r="F963" s="314"/>
      <c r="G963" s="314"/>
      <c r="J963" s="313"/>
    </row>
    <row r="964" ht="13.5" customHeight="1">
      <c r="A964" s="314"/>
      <c r="B964" s="314"/>
      <c r="C964" s="314"/>
      <c r="D964" s="315"/>
      <c r="E964" s="315"/>
      <c r="F964" s="314"/>
      <c r="G964" s="314"/>
      <c r="J964" s="313"/>
    </row>
    <row r="965" ht="13.5" customHeight="1">
      <c r="A965" s="314"/>
      <c r="B965" s="314"/>
      <c r="C965" s="314"/>
      <c r="D965" s="315"/>
      <c r="E965" s="315"/>
      <c r="F965" s="314"/>
      <c r="G965" s="314"/>
      <c r="J965" s="313"/>
    </row>
    <row r="966" ht="13.5" customHeight="1">
      <c r="A966" s="314"/>
      <c r="B966" s="314"/>
      <c r="C966" s="314"/>
      <c r="D966" s="315"/>
      <c r="E966" s="315"/>
      <c r="F966" s="314"/>
      <c r="G966" s="314"/>
      <c r="J966" s="313"/>
    </row>
    <row r="967" ht="13.5" customHeight="1">
      <c r="A967" s="314"/>
      <c r="B967" s="314"/>
      <c r="C967" s="314"/>
      <c r="D967" s="315"/>
      <c r="E967" s="315"/>
      <c r="F967" s="314"/>
      <c r="G967" s="314"/>
      <c r="J967" s="313"/>
    </row>
    <row r="968" ht="13.5" customHeight="1">
      <c r="A968" s="314"/>
      <c r="B968" s="314"/>
      <c r="C968" s="314"/>
      <c r="D968" s="315"/>
      <c r="E968" s="315"/>
      <c r="F968" s="314"/>
      <c r="G968" s="314"/>
      <c r="J968" s="313"/>
    </row>
    <row r="969" ht="13.5" customHeight="1">
      <c r="A969" s="314"/>
      <c r="B969" s="314"/>
      <c r="C969" s="314"/>
      <c r="D969" s="315"/>
      <c r="E969" s="315"/>
      <c r="F969" s="314"/>
      <c r="G969" s="314"/>
      <c r="J969" s="313"/>
    </row>
    <row r="970" ht="13.5" customHeight="1">
      <c r="A970" s="314"/>
      <c r="B970" s="314"/>
      <c r="C970" s="314"/>
      <c r="D970" s="315"/>
      <c r="E970" s="315"/>
      <c r="F970" s="314"/>
      <c r="G970" s="314"/>
      <c r="J970" s="313"/>
    </row>
    <row r="971" ht="13.5" customHeight="1">
      <c r="A971" s="314"/>
      <c r="B971" s="314"/>
      <c r="C971" s="314"/>
      <c r="D971" s="315"/>
      <c r="E971" s="315"/>
      <c r="F971" s="314"/>
      <c r="G971" s="314"/>
      <c r="J971" s="313"/>
    </row>
    <row r="972" ht="13.5" customHeight="1">
      <c r="A972" s="314"/>
      <c r="B972" s="314"/>
      <c r="C972" s="314"/>
      <c r="D972" s="315"/>
      <c r="E972" s="315"/>
      <c r="F972" s="314"/>
      <c r="G972" s="314"/>
      <c r="J972" s="313"/>
    </row>
    <row r="973" ht="13.5" customHeight="1">
      <c r="A973" s="314"/>
      <c r="B973" s="314"/>
      <c r="C973" s="314"/>
      <c r="D973" s="315"/>
      <c r="E973" s="315"/>
      <c r="F973" s="314"/>
      <c r="G973" s="314"/>
      <c r="J973" s="313"/>
    </row>
    <row r="974" ht="13.5" customHeight="1">
      <c r="A974" s="314"/>
      <c r="B974" s="314"/>
      <c r="C974" s="314"/>
      <c r="D974" s="315"/>
      <c r="E974" s="315"/>
      <c r="F974" s="314"/>
      <c r="G974" s="314"/>
      <c r="J974" s="313"/>
    </row>
    <row r="975" ht="13.5" customHeight="1">
      <c r="A975" s="314"/>
      <c r="B975" s="314"/>
      <c r="C975" s="314"/>
      <c r="D975" s="315"/>
      <c r="E975" s="315"/>
      <c r="F975" s="314"/>
      <c r="G975" s="314"/>
      <c r="J975" s="313"/>
    </row>
    <row r="976" ht="13.5" customHeight="1">
      <c r="A976" s="314"/>
      <c r="B976" s="314"/>
      <c r="C976" s="314"/>
      <c r="D976" s="315"/>
      <c r="E976" s="315"/>
      <c r="F976" s="314"/>
      <c r="G976" s="314"/>
      <c r="J976" s="313"/>
    </row>
    <row r="977" ht="13.5" customHeight="1">
      <c r="A977" s="314"/>
      <c r="B977" s="314"/>
      <c r="C977" s="314"/>
      <c r="D977" s="315"/>
      <c r="E977" s="315"/>
      <c r="F977" s="314"/>
      <c r="G977" s="314"/>
      <c r="J977" s="313"/>
    </row>
    <row r="978" ht="13.5" customHeight="1">
      <c r="A978" s="314"/>
      <c r="B978" s="314"/>
      <c r="C978" s="314"/>
      <c r="D978" s="315"/>
      <c r="E978" s="315"/>
      <c r="F978" s="314"/>
      <c r="G978" s="314"/>
      <c r="J978" s="313"/>
    </row>
    <row r="979" ht="13.5" customHeight="1">
      <c r="A979" s="314"/>
      <c r="B979" s="314"/>
      <c r="C979" s="314"/>
      <c r="D979" s="315"/>
      <c r="E979" s="315"/>
      <c r="F979" s="314"/>
      <c r="G979" s="314"/>
      <c r="J979" s="313"/>
    </row>
    <row r="980" ht="13.5" customHeight="1">
      <c r="A980" s="314"/>
      <c r="B980" s="314"/>
      <c r="C980" s="314"/>
      <c r="D980" s="315"/>
      <c r="E980" s="315"/>
      <c r="F980" s="314"/>
      <c r="G980" s="314"/>
      <c r="J980" s="313"/>
    </row>
    <row r="981" ht="13.5" customHeight="1">
      <c r="A981" s="314"/>
      <c r="B981" s="314"/>
      <c r="C981" s="314"/>
      <c r="D981" s="315"/>
      <c r="E981" s="315"/>
      <c r="F981" s="314"/>
      <c r="G981" s="314"/>
      <c r="J981" s="313"/>
    </row>
    <row r="982" ht="13.5" customHeight="1">
      <c r="A982" s="314"/>
      <c r="B982" s="314"/>
      <c r="C982" s="314"/>
      <c r="D982" s="315"/>
      <c r="E982" s="315"/>
      <c r="F982" s="314"/>
      <c r="G982" s="314"/>
      <c r="J982" s="313"/>
    </row>
    <row r="983" ht="13.5" customHeight="1">
      <c r="A983" s="314"/>
      <c r="B983" s="314"/>
      <c r="C983" s="314"/>
      <c r="D983" s="315"/>
      <c r="E983" s="315"/>
      <c r="F983" s="314"/>
      <c r="G983" s="314"/>
      <c r="J983" s="313"/>
    </row>
    <row r="984" ht="13.5" customHeight="1">
      <c r="A984" s="314"/>
      <c r="B984" s="314"/>
      <c r="C984" s="314"/>
      <c r="D984" s="315"/>
      <c r="E984" s="315"/>
      <c r="F984" s="314"/>
      <c r="G984" s="314"/>
      <c r="J984" s="313"/>
    </row>
    <row r="985" ht="13.5" customHeight="1">
      <c r="A985" s="314"/>
      <c r="B985" s="314"/>
      <c r="C985" s="314"/>
      <c r="D985" s="315"/>
      <c r="E985" s="315"/>
      <c r="F985" s="314"/>
      <c r="G985" s="314"/>
      <c r="J985" s="313"/>
    </row>
    <row r="986" ht="13.5" customHeight="1">
      <c r="A986" s="314"/>
      <c r="B986" s="314"/>
      <c r="C986" s="314"/>
      <c r="D986" s="315"/>
      <c r="E986" s="315"/>
      <c r="F986" s="314"/>
      <c r="G986" s="314"/>
      <c r="J986" s="313"/>
    </row>
    <row r="987" ht="13.5" customHeight="1">
      <c r="A987" s="314"/>
      <c r="B987" s="314"/>
      <c r="C987" s="314"/>
      <c r="D987" s="315"/>
      <c r="E987" s="315"/>
      <c r="F987" s="314"/>
      <c r="G987" s="314"/>
      <c r="J987" s="313"/>
    </row>
    <row r="988" ht="13.5" customHeight="1">
      <c r="A988" s="314"/>
      <c r="B988" s="314"/>
      <c r="C988" s="314"/>
      <c r="D988" s="315"/>
      <c r="E988" s="315"/>
      <c r="F988" s="314"/>
      <c r="G988" s="314"/>
      <c r="J988" s="313"/>
    </row>
    <row r="989" ht="13.5" customHeight="1">
      <c r="A989" s="314"/>
      <c r="B989" s="314"/>
      <c r="C989" s="314"/>
      <c r="D989" s="315"/>
      <c r="E989" s="315"/>
      <c r="F989" s="314"/>
      <c r="G989" s="314"/>
      <c r="J989" s="313"/>
    </row>
    <row r="990" ht="13.5" customHeight="1">
      <c r="A990" s="314"/>
      <c r="B990" s="314"/>
      <c r="C990" s="314"/>
      <c r="D990" s="315"/>
      <c r="E990" s="315"/>
      <c r="F990" s="314"/>
      <c r="G990" s="314"/>
      <c r="J990" s="313"/>
    </row>
    <row r="991" ht="13.5" customHeight="1">
      <c r="A991" s="314"/>
      <c r="B991" s="314"/>
      <c r="C991" s="314"/>
      <c r="D991" s="315"/>
      <c r="E991" s="315"/>
      <c r="F991" s="314"/>
      <c r="G991" s="314"/>
      <c r="J991" s="313"/>
    </row>
    <row r="992" ht="13.5" customHeight="1">
      <c r="A992" s="314"/>
      <c r="B992" s="314"/>
      <c r="C992" s="314"/>
      <c r="D992" s="315"/>
      <c r="E992" s="315"/>
      <c r="F992" s="314"/>
      <c r="G992" s="314"/>
      <c r="J992" s="313"/>
    </row>
    <row r="993" ht="13.5" customHeight="1">
      <c r="A993" s="314"/>
      <c r="B993" s="314"/>
      <c r="C993" s="314"/>
      <c r="D993" s="315"/>
      <c r="E993" s="315"/>
      <c r="F993" s="314"/>
      <c r="G993" s="314"/>
      <c r="J993" s="313"/>
    </row>
    <row r="994" ht="13.5" customHeight="1">
      <c r="A994" s="314"/>
      <c r="B994" s="314"/>
      <c r="C994" s="314"/>
      <c r="D994" s="315"/>
      <c r="E994" s="315"/>
      <c r="F994" s="314"/>
      <c r="G994" s="314"/>
      <c r="J994" s="313"/>
    </row>
    <row r="995" ht="13.5" customHeight="1">
      <c r="A995" s="314"/>
      <c r="B995" s="314"/>
      <c r="C995" s="314"/>
      <c r="D995" s="315"/>
      <c r="E995" s="315"/>
      <c r="F995" s="314"/>
      <c r="G995" s="314"/>
      <c r="J995" s="313"/>
    </row>
    <row r="996" ht="13.5" customHeight="1">
      <c r="A996" s="314"/>
      <c r="B996" s="314"/>
      <c r="C996" s="314"/>
      <c r="D996" s="315"/>
      <c r="E996" s="315"/>
      <c r="F996" s="314"/>
      <c r="G996" s="314"/>
      <c r="J996" s="313"/>
    </row>
    <row r="997" ht="13.5" customHeight="1">
      <c r="A997" s="314"/>
      <c r="B997" s="314"/>
      <c r="C997" s="314"/>
      <c r="D997" s="315"/>
      <c r="E997" s="315"/>
      <c r="F997" s="314"/>
      <c r="G997" s="314"/>
      <c r="J997" s="313"/>
    </row>
  </sheetData>
  <mergeCells count="2">
    <mergeCell ref="T1:AC1"/>
    <mergeCell ref="T2:AC2"/>
  </mergeCells>
  <dataValidations>
    <dataValidation type="list" allowBlank="1" sqref="H4:H186">
      <formula1>"Centro,Norte,Sur,Occidente"</formula1>
    </dataValidation>
    <dataValidation type="list" allowBlank="1" showErrorMessage="1" sqref="L4:L186">
      <formula1>"Con pase de cuenta,Sin pase de cuenta,Sin inspección de calidad,Inspección de calidad programada"</formula1>
    </dataValidation>
    <dataValidation type="list" allowBlank="1" showErrorMessage="1" sqref="K4:K186">
      <formula1>"Encendido,En ingeniería,En construcción,Adecuaciones de NC"</formula1>
    </dataValidation>
    <dataValidation type="list" allowBlank="1" sqref="M4:M186">
      <formula1>"Vigente,Vencimiento reciente,Vencida,Próxima a vencer"</formula1>
    </dataValidation>
    <dataValidation type="custom" allowBlank="1" showDropDown="1" sqref="F4:G186">
      <formula1>AND(ISNUMBER(F4),(NOT(OR(NOT(ISERROR(DATEVALUE(F4))), AND(ISNUMBER(F4), LEFT(CELL("format", F4))="D")))))</formula1>
    </dataValidation>
    <dataValidation type="list" allowBlank="1" sqref="I4:I186">
      <formula1>"Santiago Medina,Adolfo Jaspersen,Ángel Corona,Sebastián Castillo,Uriel Tamayo,Melissa Solorio,Erick Fermin,Gustavo Chavez"</formula1>
    </dataValidation>
  </dataValidations>
  <printOptions/>
  <pageMargins bottom="0.75" footer="0.0" header="0.0" left="0.7" right="0.7" top="0.75"/>
  <pageSetup orientation="landscape"/>
  <drawing r:id="rId4"/>
  <legacyDrawing r:id="rId5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4.57"/>
    <col customWidth="1" min="2" max="2" width="16.86"/>
    <col customWidth="1" min="3" max="5" width="21.29"/>
    <col customWidth="1" min="6" max="6" width="20.57"/>
  </cols>
  <sheetData>
    <row r="1">
      <c r="D1" s="317"/>
      <c r="E1" s="317"/>
      <c r="F1" s="317"/>
    </row>
    <row r="2" hidden="1">
      <c r="D2" s="319"/>
      <c r="E2" s="319"/>
      <c r="F2" s="319"/>
    </row>
    <row r="3">
      <c r="D3" s="319"/>
      <c r="E3" s="319"/>
      <c r="F3" s="319"/>
    </row>
    <row r="4">
      <c r="D4" s="319"/>
      <c r="E4" s="319"/>
      <c r="F4" s="319"/>
    </row>
    <row r="5">
      <c r="D5" s="319"/>
      <c r="E5" s="319"/>
      <c r="F5" s="319"/>
    </row>
    <row r="6">
      <c r="D6" s="319"/>
      <c r="E6" s="319"/>
      <c r="F6" s="319"/>
    </row>
    <row r="7">
      <c r="D7" s="319"/>
      <c r="E7" s="319"/>
      <c r="F7" s="319"/>
    </row>
    <row r="8">
      <c r="D8" s="319"/>
      <c r="E8" s="319"/>
      <c r="F8" s="319"/>
    </row>
    <row r="9">
      <c r="D9" s="319"/>
      <c r="E9" s="319"/>
      <c r="F9" s="319"/>
    </row>
    <row r="10">
      <c r="D10" s="319"/>
      <c r="E10" s="319"/>
      <c r="F10" s="319"/>
    </row>
    <row r="11">
      <c r="D11" s="319"/>
      <c r="E11" s="319"/>
      <c r="F11" s="319"/>
    </row>
  </sheetData>
  <conditionalFormatting sqref="B3:B10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40.86"/>
    <col customWidth="1" min="3" max="3" width="34.43"/>
    <col customWidth="1" min="4" max="4" width="24.0"/>
    <col customWidth="1" min="5" max="5" width="5.43"/>
    <col customWidth="1" min="6" max="6" width="6.43"/>
    <col customWidth="1" min="7" max="26" width="10.71"/>
  </cols>
  <sheetData>
    <row r="1" ht="13.5" customHeight="1"/>
    <row r="2" ht="13.5" customHeight="1"/>
    <row r="3" ht="13.5" customHeight="1"/>
    <row r="4" ht="13.5" customHeight="1">
      <c r="D4" s="321"/>
    </row>
    <row r="5" ht="13.5" customHeight="1">
      <c r="D5" s="321"/>
    </row>
    <row r="6" ht="13.5" customHeight="1">
      <c r="D6" s="321"/>
    </row>
    <row r="7" ht="13.5" customHeight="1">
      <c r="D7" s="321"/>
    </row>
    <row r="8" ht="13.5" customHeight="1">
      <c r="D8" s="321"/>
    </row>
    <row r="9" ht="13.5" customHeight="1">
      <c r="D9" s="321"/>
    </row>
    <row r="10" ht="13.5" customHeight="1">
      <c r="D10" s="321"/>
    </row>
    <row r="11" ht="13.5" customHeight="1">
      <c r="D11" s="321"/>
    </row>
    <row r="12" ht="13.5" customHeight="1">
      <c r="D12" s="321"/>
    </row>
    <row r="13" ht="13.5" customHeight="1">
      <c r="D13" s="321"/>
    </row>
    <row r="14" ht="13.5" customHeight="1">
      <c r="D14" s="321"/>
    </row>
    <row r="15" ht="13.5" customHeight="1">
      <c r="D15" s="321"/>
    </row>
    <row r="16" ht="13.5" customHeight="1">
      <c r="D16" s="321"/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15" t="s">
        <v>421</v>
      </c>
    </row>
  </sheetData>
  <drawing r:id="rId1"/>
</worksheet>
</file>